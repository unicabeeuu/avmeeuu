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hf\Unicab\"/>
    </mc:Choice>
  </mc:AlternateContent>
  <xr:revisionPtr revIDLastSave="0" documentId="13_ncr:1_{443D4F0F-E13D-445B-A2BA-162688A3043D}" xr6:coauthVersionLast="47" xr6:coauthVersionMax="47" xr10:uidLastSave="{00000000-0000-0000-0000-000000000000}"/>
  <workbookProtection workbookAlgorithmName="SHA-512" workbookHashValue="Y1owQbG1g2jROrBv8cLtNSfc7Byg4DGKZJlpMXF8W5mgnE3FaghRTMUj3qNRQExSFiYopjJP/MmXFlH62yPrKQ==" workbookSaltValue="j/35t/AzPY8qBbu9sApSDw==" workbookSpinCount="100000" lockStructure="1"/>
  <bookViews>
    <workbookView xWindow="-108" yWindow="-108" windowWidth="23256" windowHeight="12456" xr2:uid="{BCE9BC4E-9E1E-4F3D-B9D1-299D31B24D4D}"/>
  </bookViews>
  <sheets>
    <sheet name="Contrato" sheetId="1" r:id="rId1"/>
    <sheet name="Pagare" sheetId="3" r:id="rId2"/>
    <sheet name="Colore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3" l="1"/>
  <c r="S22" i="3"/>
  <c r="K22" i="3"/>
  <c r="C22" i="3"/>
  <c r="K21" i="3"/>
  <c r="C21" i="3"/>
  <c r="K20" i="3"/>
  <c r="C20" i="3"/>
  <c r="Q19" i="3"/>
  <c r="I19" i="3"/>
  <c r="F19" i="3"/>
  <c r="K11" i="3"/>
  <c r="C87" i="3"/>
  <c r="C86" i="3"/>
  <c r="B46" i="3"/>
  <c r="C45" i="3"/>
  <c r="T32" i="3"/>
  <c r="C18" i="3"/>
  <c r="C16" i="3"/>
  <c r="D11" i="3"/>
  <c r="T9" i="3"/>
  <c r="S9" i="3"/>
  <c r="R9" i="3"/>
  <c r="J9" i="3"/>
</calcChain>
</file>

<file path=xl/sharedStrings.xml><?xml version="1.0" encoding="utf-8"?>
<sst xmlns="http://schemas.openxmlformats.org/spreadsheetml/2006/main" count="397" uniqueCount="305">
  <si>
    <t>ESTUDIANTE</t>
  </si>
  <si>
    <t>NOMBRE DEL</t>
  </si>
  <si>
    <t>DOCUMENTO</t>
  </si>
  <si>
    <t>T.I</t>
  </si>
  <si>
    <t>C.C</t>
  </si>
  <si>
    <t>C.E</t>
  </si>
  <si>
    <t>LUGAR Y FECHA DE NACIMIENTO</t>
  </si>
  <si>
    <t>SEXO</t>
  </si>
  <si>
    <t>DE IDENTIDAD</t>
  </si>
  <si>
    <t>NÚMERO DE DOCUMENTO</t>
  </si>
  <si>
    <t>DIRECCIÓN</t>
  </si>
  <si>
    <t>CIUDAD/DEPTO.</t>
  </si>
  <si>
    <t>ÚLTIMO</t>
  </si>
  <si>
    <t>COLEGIO</t>
  </si>
  <si>
    <t>ÚLTIMO GRADO</t>
  </si>
  <si>
    <t>APROBADO</t>
  </si>
  <si>
    <t>ESTADO CIVIL</t>
  </si>
  <si>
    <t>EDAD</t>
  </si>
  <si>
    <t>ESTRATO</t>
  </si>
  <si>
    <t>TELÉFONOS</t>
  </si>
  <si>
    <t>EMAIL</t>
  </si>
  <si>
    <t>DISCAPACIDAD</t>
  </si>
  <si>
    <t>NINGUNA</t>
  </si>
  <si>
    <t>FÍSICA</t>
  </si>
  <si>
    <t>COGNITIVA</t>
  </si>
  <si>
    <t>AUDITIVA</t>
  </si>
  <si>
    <t>VISUAL</t>
  </si>
  <si>
    <t>MENTAL</t>
  </si>
  <si>
    <t>OTRA</t>
  </si>
  <si>
    <t>DE EXISTIR, POR FAVOR ESPECIFIQUE CUÁL ES LA INCAPAIDAD</t>
  </si>
  <si>
    <t>CONTRATO DE MATRÍCULA</t>
  </si>
  <si>
    <t>GESTIÓN ADMINISTRATIVA Y FINANCIERA</t>
  </si>
  <si>
    <t>Código: GOT-DOC-01</t>
  </si>
  <si>
    <t>Versión:03</t>
  </si>
  <si>
    <t>Vigencia: 31/12/21</t>
  </si>
  <si>
    <t>Unicab Corporación Educativa "Colegio UNICAB Virtual"</t>
  </si>
  <si>
    <t>EDUCACIÓN BÁSICA PRIMARIA, BÁSICA SECUNDARIA Y MEDIA ACADÉMICA</t>
  </si>
  <si>
    <t>Resolución 061 de 15 de Diciembre de 2007 S.E. y Cultura de Sogamoso</t>
  </si>
  <si>
    <t>Resolución 0155 de 21 de julio de 2010 - Resolución 326 de 22 de septiembre de 2015</t>
  </si>
  <si>
    <t>FECHA</t>
  </si>
  <si>
    <t>Día</t>
  </si>
  <si>
    <t>Mes</t>
  </si>
  <si>
    <t>Año</t>
  </si>
  <si>
    <t>M</t>
  </si>
  <si>
    <t>F</t>
  </si>
  <si>
    <t>CONDICIÓN</t>
  </si>
  <si>
    <t>SOCIOECONÓMICA</t>
  </si>
  <si>
    <t>ACREDITADA</t>
  </si>
  <si>
    <t>VALOR MATRÍCULA</t>
  </si>
  <si>
    <t>ANUAL PENSIÓN</t>
  </si>
  <si>
    <t>ESTADO DE</t>
  </si>
  <si>
    <t>MATRÍCULA</t>
  </si>
  <si>
    <t>ESTUDIANTE NUEVO</t>
  </si>
  <si>
    <t>HOMOLOGACIÓN</t>
  </si>
  <si>
    <t>CONVALIDACIÓN</t>
  </si>
  <si>
    <t>RENOVACIÓN</t>
  </si>
  <si>
    <t>UNIDAD A LA QUE INGRESA</t>
  </si>
  <si>
    <t>PRIMARIA</t>
  </si>
  <si>
    <t>SECUNDARIA</t>
  </si>
  <si>
    <t>M. ACADÉMICA</t>
  </si>
  <si>
    <t>GRADO AL QUE INGRESA</t>
  </si>
  <si>
    <t>CICLO DE INGRESO</t>
  </si>
  <si>
    <t>TIPO DE</t>
  </si>
  <si>
    <t>CONTADO</t>
  </si>
  <si>
    <t>ACUERDO</t>
  </si>
  <si>
    <t>CONVENIO</t>
  </si>
  <si>
    <t>No. CONTRATO - FICHA</t>
  </si>
  <si>
    <t>EXPEDIDA EN.</t>
  </si>
  <si>
    <t>DIRECCIÓN DE RESIDENCIA</t>
  </si>
  <si>
    <t>PROFESIÓN</t>
  </si>
  <si>
    <t>EMPRESA</t>
  </si>
  <si>
    <t>TELÉFONO</t>
  </si>
  <si>
    <t>PADRE</t>
  </si>
  <si>
    <t>NOMBRE DE</t>
  </si>
  <si>
    <t>LA MADRE</t>
  </si>
  <si>
    <t>BANCO AV VILLAS</t>
  </si>
  <si>
    <t>CUENTA CORRIENTE No. 720 - 17457 - 2</t>
  </si>
  <si>
    <t>TITULAR: UNICAB CORPORACIÓN EDUCATIVA</t>
  </si>
  <si>
    <t>CAJA SOCIAL DE AHORRO</t>
  </si>
  <si>
    <t>CUENTA CORRIENTE No. 21003786216</t>
  </si>
  <si>
    <t>REFERENCIA</t>
  </si>
  <si>
    <t>NÚMERO DE CÉDULA DE CIUDADANÍA DEL PADRE DE</t>
  </si>
  <si>
    <t>42 86 138</t>
  </si>
  <si>
    <t>#2A568A</t>
  </si>
  <si>
    <t>74 135 209</t>
  </si>
  <si>
    <t>#4A87D1</t>
  </si>
  <si>
    <t>219 228 240</t>
  </si>
  <si>
    <t>#DBE4F0</t>
  </si>
  <si>
    <t>182 221 232</t>
  </si>
  <si>
    <t>#B6DDE8</t>
  </si>
  <si>
    <t>217 217 217</t>
  </si>
  <si>
    <t>#D9D9D9</t>
  </si>
  <si>
    <t>FOTOGRAFÍA
3 x 4</t>
  </si>
  <si>
    <t>TIEMPO
QUE DEDICA</t>
  </si>
  <si>
    <t>MEDIOS DE
PAGO</t>
  </si>
  <si>
    <t>ACTA DE COMPROMISO INSTITUCIONAL</t>
  </si>
  <si>
    <t>En ejercicio del derecho constitucional consagrado en el inciso 4º del artículo 68 constitucional que indica que “Los padres de familia tendrán derecho a escoger el tipo de educación para sus</t>
  </si>
  <si>
    <t>hijos menores.” y con el propósito de garantizar el ejercicio de los derechos fundamentales de los niños, niñas y adolescentes  consagrados en los artículos   26, 27, 44,  67, 68 y 70 de la</t>
  </si>
  <si>
    <t xml:space="preserve">Constitución Política de Colombia, y en particular de  en su condición de  </t>
  </si>
  <si>
    <t xml:space="preserve">   postulante admitido , quien en adelante se denominará</t>
  </si>
  <si>
    <t xml:space="preserve">BENEFICARIO-ESTUDIANTE, los señores   </t>
  </si>
  <si>
    <t xml:space="preserve"> y </t>
  </si>
  <si>
    <t xml:space="preserve">  Padre (s) o </t>
  </si>
  <si>
    <t>legal de la UNICAB Corporación Educativa y rectora del Colegio UNICAB Virtual, quien en adelante se denominará la INSTITUCIÓN, institución de carácter privada, hemos acordado suscribir</t>
  </si>
  <si>
    <t>el presente CONTRATO DE MATRÍCULA por un año académico, el cual se regirá por las normas contenidas en el manual de convivencia y en especial por las siguientes cláusulas:</t>
  </si>
  <si>
    <r>
      <rPr>
        <b/>
        <sz val="9"/>
        <color theme="1"/>
        <rFont val="Arial Narrow"/>
        <family val="2"/>
      </rPr>
      <t xml:space="preserve">      PRIMERA. OBJETO:</t>
    </r>
    <r>
      <rPr>
        <sz val="9"/>
        <color theme="1"/>
        <rFont val="Arial Narrow"/>
        <family val="2"/>
      </rPr>
      <t xml:space="preserve"> El presente contrato tiene por objeto la prestación de servicios educativos con metodología virtual al BENEFICIARIO-ESTUDIANTE, con el fin de lograr su formación</t>
    </r>
  </si>
  <si>
    <t xml:space="preserve">      que sean citados a través de videoconferencia virtual o por los medios de comunicación establecidos por la INSTITUCIÓN. 5) Contribuir solidariamente con la INSTITUCIÓN para la </t>
  </si>
  <si>
    <t xml:space="preserve">      formación de sus hijos. 6) Dotar al BENFEICIARIO- ESTUDIANTE de todos los implementos de trabajo necesarios, 7) Cancelar oportunamente las pensiones dentro de los DIEZ PRIMEROS</t>
  </si>
  <si>
    <t xml:space="preserve">      personal, cultural y social fundada en una concepción integral de la persona humana, de su dignidad, de sus derechos y deberes, teniendo en cuenta los fines de la educación previstos en</t>
  </si>
  <si>
    <t xml:space="preserve">      la ley 115 de 1994 y demás leyes, decretos y normas concordantes, vigentes a la fecha de la firma del presente documento, con obligaciones de los educadores, educandos y los padres de</t>
  </si>
  <si>
    <t xml:space="preserve">      familia. Las obligaciones que se adquieren en el presente contrato son correlativas y esenciales para la obtención del objeto común.</t>
  </si>
  <si>
    <t xml:space="preserve">      vigentes y el manual de convivencia. 3) Participar libremente en las reuniones de Padres de Familia; 4) Informarse sobre el rendimiento académico y comportamiento del Estudiante y </t>
  </si>
  <si>
    <t xml:space="preserve">      participar activamente en su mejoramiento, para lo cual en caso de ser contactado por los Directivos y/o docentes de la Institución a entrevistas especiales, deberán asistir el día y hora en</t>
  </si>
  <si>
    <t xml:space="preserve">      días del calendario de cada mes. En igual otros que sobre la ejecución del contrato se presente conforme a la actividad académica con metodología virtual.</t>
  </si>
  <si>
    <r>
      <t xml:space="preserve">      </t>
    </r>
    <r>
      <rPr>
        <b/>
        <sz val="9"/>
        <color theme="1"/>
        <rFont val="Arial Narrow"/>
        <family val="2"/>
      </rPr>
      <t>TERCERA. OBLIGACIONES DEL BENEFICIARIO-ESTUDIANTE:</t>
    </r>
    <r>
      <rPr>
        <sz val="9"/>
        <color theme="1"/>
        <rFont val="Arial Narrow"/>
        <family val="2"/>
      </rPr>
      <t xml:space="preserve"> El beneficiario estudiante asume las siguientes obligaciones, por cuyo cumplimiento deberán velar sus padres-</t>
    </r>
  </si>
  <si>
    <t xml:space="preserve">      académico previsto para el grado que cursa. 2) cumplir con las normas y reglamentos estipulados en el MANUAL DE CONVIVENCIA que hace parte integral de este contrato y 3) colaborar</t>
  </si>
  <si>
    <t xml:space="preserve">      activamente con la INSTITUCIÓN en el desarrollo del Proyecto Educativo Institucional - PEI.</t>
  </si>
  <si>
    <r>
      <t xml:space="preserve">      </t>
    </r>
    <r>
      <rPr>
        <b/>
        <sz val="9"/>
        <color theme="1"/>
        <rFont val="Arial Narrow"/>
        <family val="2"/>
      </rPr>
      <t>CUARTA. OBLIGACIONES DE LA CORPORACIÓN EDUCATIVA - COLEGIO “UNICAB” VIRTUAL</t>
    </r>
    <r>
      <rPr>
        <sz val="9"/>
        <color theme="1"/>
        <rFont val="Arial Narrow"/>
        <family val="2"/>
      </rPr>
      <t xml:space="preserve"> , Se erigen como obligaciones correlativas al cumplimiento de las obligaciones</t>
    </r>
  </si>
  <si>
    <t xml:space="preserve">      previstas en las cláusulas segunda y tercera, las siguientes: 1) Prestar en forma eficiente el servicio Educativo contratado dentro de las prescripciones legales y requerimientos de las</t>
  </si>
  <si>
    <t xml:space="preserve">      autoridades competentes con el fin de lograr el cumplimiento del Proyecto Educativo Institucional- PEI, los fines de la Institución y los objetivos específicos de cada nivel educativo; 2) </t>
  </si>
  <si>
    <t xml:space="preserve">      Exigir al Estudiante- Beneficiario el cumplimiento del MANUAL DE CONVIVENCIA y los deberes académicos esenciales para la consecución del fin común que comparten la institución,</t>
  </si>
  <si>
    <t xml:space="preserve">      los Padres estén a Paz y Salvo con el Colegio.</t>
  </si>
  <si>
    <r>
      <t xml:space="preserve">      </t>
    </r>
    <r>
      <rPr>
        <b/>
        <sz val="9"/>
        <color theme="1"/>
        <rFont val="Arial Narrow"/>
        <family val="2"/>
      </rPr>
      <t>QUINTA- DURACIÓN:</t>
    </r>
    <r>
      <rPr>
        <sz val="9"/>
        <color theme="1"/>
        <rFont val="Arial Narrow"/>
        <family val="2"/>
      </rPr>
      <t xml:space="preserve"> Este contrato tiene vigencia de un (1) año lectivo escolar, a partir del día</t>
    </r>
  </si>
  <si>
    <t xml:space="preserve"> de </t>
  </si>
  <si>
    <t xml:space="preserve"> al día</t>
  </si>
  <si>
    <t xml:space="preserve"> de</t>
  </si>
  <si>
    <t xml:space="preserve">      El pago de los costos se hará únicamente a través de los diferentes medios de pago autorizados por la institución y en los tiempos señalados por esta.</t>
  </si>
  <si>
    <t xml:space="preserve">      El valor anual corresponde a la suma de</t>
  </si>
  <si>
    <t xml:space="preserve"> $(</t>
  </si>
  <si>
    <t xml:space="preserve"> )</t>
  </si>
  <si>
    <t xml:space="preserve">      cada una.</t>
  </si>
  <si>
    <t xml:space="preserve">      que para efecto de la pensión se pagará en </t>
  </si>
  <si>
    <t xml:space="preserve">      cual, el mismo, se diligenciará con el valor en mora en que los padres- Acudientes- representantes legales se encuentren con la Institución por concepto de matrícula, mensualidades de</t>
  </si>
  <si>
    <t xml:space="preserve">      pensión y las demás obligaciones que se generen en virtud del presente contrato y del PEI. Igualmente pagarán los gastos de cobranza judicial y extrajudicial, honorarios de abogado y</t>
  </si>
  <si>
    <t xml:space="preserve">      demás gastos que la INSTITUCIÓN haya cancelado derivados de cualquier clase de obligaciones directas o indirectas de los padres- Acudientes- representantes legales y hasta su</t>
  </si>
  <si>
    <t xml:space="preserve">      cancelación total, sin perjuicio de las acciones legales que el tenedor del presente título tenga para obtener el pago de la indemnización total por los perjuicios que por su incumplimiento,</t>
  </si>
  <si>
    <t xml:space="preserve">      acción u omisión, se le hayan ocasionado.</t>
  </si>
  <si>
    <r>
      <t xml:space="preserve">     </t>
    </r>
    <r>
      <rPr>
        <b/>
        <sz val="9"/>
        <color theme="1"/>
        <rFont val="Arial Narrow"/>
        <family val="2"/>
      </rPr>
      <t xml:space="preserve"> Parágrafo Primero.</t>
    </r>
    <r>
      <rPr>
        <sz val="9"/>
        <color theme="1"/>
        <rFont val="Arial Narrow"/>
        <family val="2"/>
      </rPr>
      <t xml:space="preserve"> La primera cuota se cancelará dentro de los DIEZ (10) primeros días calendario del mes, independiente de la fecha de ingreso, y las restantes en los meses</t>
    </r>
  </si>
  <si>
    <t xml:space="preserve">      por causa fortuita o fuerza mayor, no dará derecho al aquí comprometido a descontar suma alguna de lo obligado a pagar o que el colegio le haga devoluciones o abonos a meses</t>
  </si>
  <si>
    <t xml:space="preserve">      posteriores.</t>
  </si>
  <si>
    <t xml:space="preserve">      previstas en la Constitución Política Colombiana y la normatividad vigente en materia de potestad parental, guardas y representación legal de menores de edad: 1) Matricular al</t>
  </si>
  <si>
    <t xml:space="preserve">      BENFICIARIO-ESTUDIANTE en las fechas establecidas por la INSTITUCIÓN; 2) Participar en la integración de los órganos de gobierno escolar y demás consejos y comités que</t>
  </si>
  <si>
    <t xml:space="preserve">      contribuyan a lograr la participación de los padres- Acudientes- representantes legales en el proceso pedagógico ECOSISTEMA UNICAB VIRTUAL, en la forma prevista en las normas</t>
  </si>
  <si>
    <t xml:space="preserve"> cuotas fijas mensuales anticipadas de </t>
  </si>
  <si>
    <r>
      <t xml:space="preserve">     </t>
    </r>
    <r>
      <rPr>
        <b/>
        <sz val="9"/>
        <color theme="1"/>
        <rFont val="Arial Narrow"/>
        <family val="2"/>
      </rPr>
      <t xml:space="preserve"> Parágrafo Tercero.</t>
    </r>
    <r>
      <rPr>
        <sz val="9"/>
        <color theme="1"/>
        <rFont val="Arial Narrow"/>
        <family val="2"/>
      </rPr>
      <t xml:space="preserve"> En caso de retiro voluntario del estudiante después de iniciado el año escolar, no habrá lugar a devoluciones por concepto de matrícula, en caso de retiro antes de</t>
    </r>
  </si>
  <si>
    <t xml:space="preserve">      iniciarse el año escolar se devolverá lo equivalente al 70% por concepto de matrícula ya que el restante 30% se tomará por gastos administrativos a favor de la INSTITUCIÓN. En caso que</t>
  </si>
  <si>
    <t xml:space="preserve">      15 días de anticipación, de lo contrario se hará efectivo el cobro total de la pensión.</t>
  </si>
  <si>
    <t xml:space="preserve">      Parágrafo Cuarto. Expresamente los padres- Acudientes- representantes legales, autorizan a la Institución o al acreedor que hiciere sus veces, para dar por terminado el plazo pactado y/o</t>
  </si>
  <si>
    <t xml:space="preserve">      exigir de inmediato, judicial o extrajudicialmente, el pago total del valor de las obligaciones pendientes, gastos de cobranza y demás obligaciones accesorias, cuando exista una obligación</t>
  </si>
  <si>
    <t xml:space="preserve">      representantes legales, así como, en los siguientes eventos sin necesidad de requerimiento privado o judicial, sin consideración del vencimiento de plazos pactados a los cuales renuncian</t>
  </si>
  <si>
    <t xml:space="preserve">      los padres- Acudientes- representantes legales de manera expresa en razón del claro conocimiento de los términos convenidos de las obligaciones de los padres- Acudientes-</t>
  </si>
  <si>
    <t xml:space="preserve">      representantes legales para con la Institución o quien haga sus veces : 1) si se presentaré el incumplimiento de cualquier obligación, que tengan los padres- Acudientes- representantes</t>
  </si>
  <si>
    <t xml:space="preserve">      legales con la Institución o mora en una o más cuotas o plazos convenidos para el pago de esta obligación. 2) Si cualquiera de los obligados gira o entrega cheques a favor de la Institución, o</t>
  </si>
  <si>
    <t xml:space="preserve">      a su orden sin provisión de fondos o si los cheques no son pagados por cualquier causa no imputable a la Institución, casos en los cuales deberán reconocer la sanción prevista en el artículo</t>
  </si>
  <si>
    <t xml:space="preserve">      731 del Código de Comercio, aun cuando los cheques girados provengan de terceros.</t>
  </si>
  <si>
    <t xml:space="preserve">      Parágrafo Quinto: En el evento de cobro pre judicial o judicial de la obligación de los padres- Acudientes- representantes legales estos se harán cargo de pagar las sumas que por todo</t>
  </si>
  <si>
    <t xml:space="preserve">      concepto acredite haber cancelado la Institución, dentro del proceso respectivo y hasta la cancelación total de la obligación en el evento de haberse hecho exigible la misma por</t>
  </si>
  <si>
    <t xml:space="preserve">      incumplimiento o mora de los padres- Acudientes- representantes legales.</t>
  </si>
  <si>
    <r>
      <t xml:space="preserve">     </t>
    </r>
    <r>
      <rPr>
        <b/>
        <sz val="9"/>
        <color theme="1"/>
        <rFont val="Arial Narrow"/>
        <family val="2"/>
      </rPr>
      <t xml:space="preserve"> Parágrafo sexto:</t>
    </r>
    <r>
      <rPr>
        <sz val="9"/>
        <color theme="1"/>
        <rFont val="Arial Narrow"/>
        <family val="2"/>
      </rPr>
      <t xml:space="preserve">  Cada período corresponde a 2,5 pagos de pensión, esto para estudiantes que ingresan por traslado de otras instituciones educativas a segundo y tercer periodo y son</t>
    </r>
  </si>
  <si>
    <t xml:space="preserve">      admitidos</t>
  </si>
  <si>
    <r>
      <t xml:space="preserve">      </t>
    </r>
    <r>
      <rPr>
        <b/>
        <sz val="9"/>
        <color theme="1"/>
        <rFont val="Arial Narrow"/>
        <family val="2"/>
      </rPr>
      <t>SÉPTIMO CERTIFICADOS Y MATRÍCULA.</t>
    </r>
    <r>
      <rPr>
        <sz val="9"/>
        <color theme="1"/>
        <rFont val="Arial Narrow"/>
        <family val="2"/>
      </rPr>
      <t xml:space="preserve"> El cumplimiento del presente contrato, dará derecho a la obtención de un certificado sobre la Actividad Académica del beneficiario- estudiante y</t>
    </r>
  </si>
  <si>
    <t xml:space="preserve">      a la matrícula en el siguiente año, sin perjuicio de las disposiciones que a este respecto, establece el MANUAL DE CONVIVENCIA de la Institución. Dicha matrícula deberá realizarse en la</t>
  </si>
  <si>
    <t xml:space="preserve">      fecha establecida por la Institución y se ajustará a los términos del modelo de l contrato que para dicha época se hayan adoptado.</t>
  </si>
  <si>
    <r>
      <t xml:space="preserve">      </t>
    </r>
    <r>
      <rPr>
        <b/>
        <sz val="9"/>
        <color theme="1"/>
        <rFont val="Arial Narrow"/>
        <family val="2"/>
      </rPr>
      <t>OCTAVA MANUAL DE CONVIVENCIA.</t>
    </r>
    <r>
      <rPr>
        <sz val="9"/>
        <color theme="1"/>
        <rFont val="Arial Narrow"/>
        <family val="2"/>
      </rPr>
      <t xml:space="preserve"> El Manual de Convivencia se considera parte integrante del presente contrato, así como el PEI.</t>
    </r>
  </si>
  <si>
    <r>
      <t xml:space="preserve">      </t>
    </r>
    <r>
      <rPr>
        <b/>
        <sz val="9"/>
        <color theme="1"/>
        <rFont val="Arial Narrow"/>
        <family val="2"/>
      </rPr>
      <t>NOVENA. TERMINACIÓN.</t>
    </r>
    <r>
      <rPr>
        <sz val="9"/>
        <color theme="1"/>
        <rFont val="Arial Narrow"/>
        <family val="2"/>
      </rPr>
      <t xml:space="preserve"> Son causales de terminación del presenté contrato las siguientes: 1) Acuerdo entre las partes; 2) Retiro voluntario del beneficiario- estudiante; 3) el</t>
    </r>
  </si>
  <si>
    <t xml:space="preserve">      incumplimiento de una de las partes; 4) exclusión del estudiante de acuerdo con lo establecido en el MANUAL DE CONVIVENCIA. La terminación unilateral que del presente contrato haga</t>
  </si>
  <si>
    <t xml:space="preserve">      la Institución por violación del MANUAL DE CONVIVENCIA, no dará lugar a la indemnización de ninguna clase. En el libro de matrículas se firmará y dejara constancia en la hoja</t>
  </si>
  <si>
    <t xml:space="preserve">      correspondiente al alumno. 5) por incumplimiento de los padres en los pagos de más de dos meses de pensión, quedando la Institución autorizada a no renovar el contrato de matrícula a</t>
  </si>
  <si>
    <t xml:space="preserve">      partir de la fecha que se haga efectiva la terminación la cual se avisará a los padres con ocho (8) días calendarios de antelación.</t>
  </si>
  <si>
    <r>
      <t xml:space="preserve">      </t>
    </r>
    <r>
      <rPr>
        <b/>
        <sz val="9"/>
        <color theme="1"/>
        <rFont val="Arial Narrow"/>
        <family val="2"/>
      </rPr>
      <t>DÉCIMA. CONDICIÓN DE RENOVACIÓN:</t>
    </r>
    <r>
      <rPr>
        <sz val="9"/>
        <color theme="1"/>
        <rFont val="Arial Narrow"/>
        <family val="2"/>
      </rPr>
      <t xml:space="preserve"> Para que pueda celebrase un contrato para un nuevo año lectivo, es necesario no haber incurrido en ninguna de las causales de terminación del</t>
    </r>
  </si>
  <si>
    <t xml:space="preserve">      contrato y haber dado cumplimiento a las demás obligaciones del mismo.</t>
  </si>
  <si>
    <t xml:space="preserve">      La institución se reserva el derecho de la no renovación de la matrícula de acuerdo con las estipulaciones del Manual de Convivencia y/o por razones de comportamiento, rendimiento y</t>
  </si>
  <si>
    <t xml:space="preserve">      otras del estudiante que requieran tratamiento especial</t>
  </si>
  <si>
    <r>
      <t xml:space="preserve">      </t>
    </r>
    <r>
      <rPr>
        <b/>
        <sz val="9"/>
        <color theme="1"/>
        <rFont val="Arial Narrow"/>
        <family val="2"/>
      </rPr>
      <t>DÉCIMA PRIMERA- TRATAMIENTO DE DATOS PERSONALES.</t>
    </r>
    <r>
      <rPr>
        <sz val="9"/>
        <color theme="1"/>
        <rFont val="Arial Narrow"/>
        <family val="2"/>
      </rPr>
      <t xml:space="preserve"> En caso de que resulte necesario para la ejecución del presente contrato que debe realizarse el tratamiento de datos</t>
    </r>
  </si>
  <si>
    <t xml:space="preserve">      personales, los padres- Acudientes- representantes legales de manera previa y expresa e informada por medio de presente, autorizan a la INSTITUCIÓN para que directamente o a través</t>
  </si>
  <si>
    <t xml:space="preserve">      de sus encargados del tratamiento de datos personales, lleve a cabo la recolección, almacenamiento, uso, circulación, supresión, transferencia y transmisión (tratamiento) de sus datos</t>
  </si>
  <si>
    <t xml:space="preserve">      personales y de los datos personales de terceros que está entregando, exclusivamente para las finalidades propias de la ejecución del contrato y con las que resulten similares o análogas a</t>
  </si>
  <si>
    <t xml:space="preserve">      ese, de conformidad con los preceptuado por la Ley Estatutaria 1581 de 2021 y decreto 1377 de 2013.</t>
  </si>
  <si>
    <t xml:space="preserve">      Hace parte del presente contrato el formato denominado CONSENTIMIENTO INFORMADO.</t>
  </si>
  <si>
    <r>
      <t xml:space="preserve">      </t>
    </r>
    <r>
      <rPr>
        <b/>
        <sz val="9"/>
        <color theme="1"/>
        <rFont val="Arial Narrow"/>
        <family val="2"/>
      </rPr>
      <t>DÉCIMA SEGUNDA. MÉRITO EJECUTIVO.</t>
    </r>
    <r>
      <rPr>
        <sz val="9"/>
        <color theme="1"/>
        <rFont val="Arial Narrow"/>
        <family val="2"/>
      </rPr>
      <t xml:space="preserve"> El presente contrato PRESTA MÉRITO EJECUTIVO, en caso de incumplimiento en el pago de la matrícula, las mensualidades de la pensión o</t>
    </r>
  </si>
  <si>
    <t xml:space="preserve">      cualquier otra obligación pecuniaria que fuera del caso en virtud del presente contrato y del PEI, sin necesidad del reconocimiento notarial o judicial de firmas, requerimiento alguno, no</t>
  </si>
  <si>
    <t xml:space="preserve">      constitución en mora a lo cual renuncian expresamente los padres- Acudientes- representantes legales.</t>
  </si>
  <si>
    <t xml:space="preserve"> del mes de </t>
  </si>
  <si>
    <t xml:space="preserve"> del año </t>
  </si>
  <si>
    <t>.</t>
  </si>
  <si>
    <t xml:space="preserve">      Para constancia se firma en Sogamoso (Boyacá - Colombia) a los</t>
  </si>
  <si>
    <t>Copia del RUT (Acudiente)</t>
  </si>
  <si>
    <t>Paz y Salvo (Académico)</t>
  </si>
  <si>
    <t>Certificado Retiro SIMAT</t>
  </si>
  <si>
    <t>Fotografía Tamaño 3 X 4</t>
  </si>
  <si>
    <t>Certificado de Notas Final</t>
  </si>
  <si>
    <t>Pagaré y Carta de Instrucciones</t>
  </si>
  <si>
    <t>Documentos Anexos</t>
  </si>
  <si>
    <t>Firma</t>
  </si>
  <si>
    <t>Acudiente</t>
  </si>
  <si>
    <t>FAMILIA O Acudiente</t>
  </si>
  <si>
    <t>Acudiente (s) y representante legal del BENEFICIARIO-ESTUDIANTE de una parte, y de otra parte, IMELDA VERGARA GÓMEZ, identificada como aparece al pie de mi firma como representante</t>
  </si>
  <si>
    <t xml:space="preserve">      SEGUNDA. OBLIGACIONES DE LOS PADRES- AcudienteS- REPRESENTANTES LEGALES: Son obligaciones de los padres- Acudientes- representantes legales, además de las</t>
  </si>
  <si>
    <t xml:space="preserve">      Acudientes- representantes legales: 1) Cumplir con las actividades virtuales establecidas por la INSTITUCIÓN dentro de la plataforma académica de acuerdo con el pensum y el calendario</t>
  </si>
  <si>
    <t xml:space="preserve">      padres- Acudientes- representantes legales y el beneficiario- estudiante; 3) expedir los certificados u títulos correspondientes a la actividad del Beneficiario – Estudiante, siempre y cuando</t>
  </si>
  <si>
    <t xml:space="preserve">      SEXTA. COSTOS: Los padres- Acudientes- representantes legales se comprometen al pago puntual de la matrícula anual, pensión mensual, derechos de grado y demás costos educativos.</t>
  </si>
  <si>
    <t xml:space="preserve">      Los padres- Acudientes- representantes legales firmarán un pagaré o título que preste mérito ejecutivo en iguales condiciones con la respectiva carta de instrucciones, de acuerdo con el</t>
  </si>
  <si>
    <t xml:space="preserve">      Parágrafo Segundo. La ausencia temporal o total dentro del mes por enfermedad u otra causal atribuible al Estudiante- Beneficiario, padres- Acudientes- representantes legales, así sea</t>
  </si>
  <si>
    <t xml:space="preserve">      el retiro se efectúe después que el estudiante ingresó a plataforma no habrá lugar a devolución y los padres de familia o Acudientes deberán informar por escrito su decisión con (quince)</t>
  </si>
  <si>
    <t xml:space="preserve">      incumplida o en mora a cargo de los padres- Acudientes- representantes legales y en los casos previstos en el pagaré y demás documentos suscritos por los padres- Acudientes- </t>
  </si>
  <si>
    <t>CONTRATANTE - Acudiente /</t>
  </si>
  <si>
    <t>Padre de Familia</t>
  </si>
  <si>
    <t xml:space="preserve">BENEFICIARIO - </t>
  </si>
  <si>
    <t>RECTOR -</t>
  </si>
  <si>
    <t>REPRESENTANTE LEGAL</t>
  </si>
  <si>
    <t>Documento:</t>
  </si>
  <si>
    <t>DATOS IDENTIFICADORES DEL PAGARÉ</t>
  </si>
  <si>
    <t>POR CONTRATO DE MATRÍCULA Y PENSIÓN</t>
  </si>
  <si>
    <t>FECHA SUSCRIPCIÓN</t>
  </si>
  <si>
    <t>No. CONTRATO</t>
  </si>
  <si>
    <t>FECHA CONTRARO</t>
  </si>
  <si>
    <t>VALOR TOTAL</t>
  </si>
  <si>
    <t>VALOR EN LETRAS</t>
  </si>
  <si>
    <t>DESCRIMINACIÓN</t>
  </si>
  <si>
    <t>DEL PAGO</t>
  </si>
  <si>
    <t>CONCEPTO MATRÍCULA</t>
  </si>
  <si>
    <t>OTROS COSTOS</t>
  </si>
  <si>
    <t>VALOR PENSIÓN</t>
  </si>
  <si>
    <t>NO. MENSUALIDADES</t>
  </si>
  <si>
    <t>DEUDOR</t>
  </si>
  <si>
    <t>GRADO</t>
  </si>
  <si>
    <t>DATOS DEL</t>
  </si>
  <si>
    <t>ACREEDOR</t>
  </si>
  <si>
    <t>REPRESENTANTE</t>
  </si>
  <si>
    <t>CÉDULA</t>
  </si>
  <si>
    <t>E- MAIL</t>
  </si>
  <si>
    <t>Unidad de Capacitación Empresarial de Boyacá "UNICAB Corporación Educativa" administradora colegio UNICAB virtual</t>
  </si>
  <si>
    <t>CARTA DE INSTRUCCIONES</t>
  </si>
  <si>
    <r>
      <t xml:space="preserve">Por medio el presente, el denominado </t>
    </r>
    <r>
      <rPr>
        <b/>
        <sz val="10"/>
        <color theme="1"/>
        <rFont val="Arial Narrow"/>
        <family val="2"/>
      </rPr>
      <t>DEUDOR</t>
    </r>
    <r>
      <rPr>
        <sz val="10"/>
        <color theme="1"/>
        <rFont val="Arial Narrow"/>
        <family val="2"/>
      </rPr>
      <t>, descrito en los datos identificadores del presente documento, manifiesto mi voluntad libre y espontánea de suscribir el</t>
    </r>
  </si>
  <si>
    <t>presente Pagaré que garantiza el pago de la matricula, pensiones y otros costos académicos correspondientes al servicio educativo del año lectivo de</t>
  </si>
  <si>
    <t>,</t>
  </si>
  <si>
    <t>contratado con el Colegio UNICAB Virtual.</t>
  </si>
  <si>
    <t>Por consiguiente, en calidad de acudiente / padre de familia, declaro que soy mayor de edad, me identifico como aparece al pie de mi firma, que obro en nombre propio</t>
  </si>
  <si>
    <t>como representante y/o benefactor del estudiante de la referencia, manifiesto que gozo de capacidad legal para celebrar este contrato y suscribir este título valor, que</t>
  </si>
  <si>
    <r>
      <t xml:space="preserve">establece de manera clara, expresa y por consiguiente exigible que debo y pagaré, incondicional y solidariamente a la orden del </t>
    </r>
    <r>
      <rPr>
        <b/>
        <sz val="10"/>
        <color theme="1"/>
        <rFont val="Arial Narrow"/>
        <family val="2"/>
      </rPr>
      <t>ACREEDOR</t>
    </r>
    <r>
      <rPr>
        <sz val="10"/>
        <color theme="1"/>
        <rFont val="Arial Narrow"/>
        <family val="2"/>
      </rPr>
      <t xml:space="preserve"> de la referencia o a la</t>
    </r>
  </si>
  <si>
    <t>persona natural o jurídica a quien el mencionado acreedor ceda o endose sus derechos sobre este pagaré, la suma cierta en moneda legal colombiana y además:</t>
  </si>
  <si>
    <r>
      <t xml:space="preserve">PRIMERO.  </t>
    </r>
    <r>
      <rPr>
        <b/>
        <sz val="10"/>
        <color theme="1"/>
        <rFont val="Arial Narrow"/>
        <family val="2"/>
      </rPr>
      <t>OBJETO:</t>
    </r>
    <r>
      <rPr>
        <sz val="10"/>
        <color theme="1"/>
        <rFont val="Arial Narrow"/>
        <family val="2"/>
      </rPr>
      <t xml:space="preserve"> Que en virtud del presente título valor </t>
    </r>
    <r>
      <rPr>
        <b/>
        <sz val="10"/>
        <color theme="1"/>
        <rFont val="Arial Narrow"/>
        <family val="2"/>
      </rPr>
      <t>EL DEUDOR</t>
    </r>
    <r>
      <rPr>
        <sz val="10"/>
        <color theme="1"/>
        <rFont val="Arial Narrow"/>
        <family val="2"/>
      </rPr>
      <t xml:space="preserve"> se compromete a pagar incondicionalmente a la orden del </t>
    </r>
    <r>
      <rPr>
        <b/>
        <sz val="10"/>
        <color theme="1"/>
        <rFont val="Arial Narrow"/>
        <family val="2"/>
      </rPr>
      <t>ACREEDOR</t>
    </r>
    <r>
      <rPr>
        <sz val="10"/>
        <color theme="1"/>
        <rFont val="Arial Narrow"/>
        <family val="2"/>
      </rPr>
      <t>, la suma estipulada,</t>
    </r>
  </si>
  <si>
    <t>que dicho valor corresponde al valor total de la matricula, los cánones de pensión y la suma referida como otros costos por concepto de la prestación del servicio</t>
  </si>
  <si>
    <t>educativo del beneficiario, descrito en el cuadro de la referencia, que el domicilio contractual del presente pagaré es la ciudad de Sogamoso Boyacá, país Colombia.</t>
  </si>
  <si>
    <t>https://unicab.org/pagos_payservices.php</t>
  </si>
  <si>
    <r>
      <t xml:space="preserve">TERCERO: </t>
    </r>
    <r>
      <rPr>
        <b/>
        <sz val="10"/>
        <color theme="1"/>
        <rFont val="Arial Narrow"/>
        <family val="2"/>
      </rPr>
      <t>INTERÉS POR MORA</t>
    </r>
    <r>
      <rPr>
        <sz val="10"/>
        <color theme="1"/>
        <rFont val="Arial Narrow"/>
        <family val="2"/>
      </rPr>
      <t>. En caso de mora reconoceré intereses en favor del ACREEDOR el porcentaje establecido al máximo legal bancario vigente a la mas</t>
    </r>
  </si>
  <si>
    <t>alta tasa permitida por la Ley, desde el día siguiente a la fecha de exigibilidad del presente pagare, y hasta cuando el pago se normalice o el pago total se efectúe.</t>
  </si>
  <si>
    <r>
      <t xml:space="preserve">CUARTO: </t>
    </r>
    <r>
      <rPr>
        <b/>
        <sz val="10"/>
        <color theme="1"/>
        <rFont val="Arial Narrow"/>
        <family val="2"/>
      </rPr>
      <t>CLÁUSULA ACLARATORIA</t>
    </r>
    <r>
      <rPr>
        <sz val="10"/>
        <color theme="1"/>
        <rFont val="Arial Narrow"/>
        <family val="2"/>
      </rPr>
      <t>. EL Colegio UNICAB Virtual o a quien este designe podrá dar por extinguido el plazo y exigir el pago inmediato de la totalidad</t>
    </r>
  </si>
  <si>
    <t>del capital judicial o extrajudicialmente cuando: (a) el deudor incumpla cualquiera de las obligaciones derivadas del presente documento, (b) se incumpla con el</t>
  </si>
  <si>
    <t>contrato de matrícula, (c) por orden sustentada del Consejo Directivo en sanción.</t>
  </si>
  <si>
    <r>
      <t xml:space="preserve">QUINTO. </t>
    </r>
    <r>
      <rPr>
        <b/>
        <sz val="10"/>
        <color theme="1"/>
        <rFont val="Arial Narrow"/>
        <family val="2"/>
      </rPr>
      <t>CESIÓN</t>
    </r>
    <r>
      <rPr>
        <sz val="10"/>
        <color theme="1"/>
        <rFont val="Arial Narrow"/>
        <family val="2"/>
      </rPr>
      <t>: Acepto desde ahora la cesión que de este pagare hiciera Colegio UNICAB Virtual a cualquier persona natural o jurídica con el fin de hacerlo efectivo,</t>
    </r>
  </si>
  <si>
    <t>quien expresamente declara excusado el protesto del presente pagaré y los requerimientos judiciales o extrajudiciales para la constitución en mora.</t>
  </si>
  <si>
    <t>PAGARÉ No.</t>
  </si>
  <si>
    <r>
      <t xml:space="preserve">SEXTO: </t>
    </r>
    <r>
      <rPr>
        <b/>
        <sz val="10"/>
        <color theme="1"/>
        <rFont val="Arial Narrow"/>
        <family val="2"/>
      </rPr>
      <t>COSTAS POR EXIGIBILIDAD</t>
    </r>
    <r>
      <rPr>
        <sz val="10"/>
        <color theme="1"/>
        <rFont val="Arial Narrow"/>
        <family val="2"/>
      </rPr>
      <t>. Expresamente declaro excusado el protesto del presente pagaré y los requerimientos judiciales o extrajudiciales para la</t>
    </r>
  </si>
  <si>
    <t>constitución en mora.  En caso de que haya lugar al recaudo judicial o extrajudicial de la obligación contenida en el presente título valor será a mi cargo las costas</t>
  </si>
  <si>
    <t>judiciales y/o los honorarios que se causen por tal razón serán de mi cargo los pagos por costas de la cobranza judicial si hubiera lugar a ella.</t>
  </si>
  <si>
    <t>FIRMA DEL DEUDOR</t>
  </si>
  <si>
    <t>HUELLA</t>
  </si>
  <si>
    <t>AL FIRMAR EL PRESENTE PAGARÉ EN BLANCO, EL DEUDOR QUEDA COMPROMETIDO EN SU TOTALIDAD AL</t>
  </si>
  <si>
    <t>CLAUSULADO DE LA PARTE INICIAL DEL CONTRATO DE MATRICULA DE LA REFERENCIA, CON LOS</t>
  </si>
  <si>
    <t>RESPECTIVOS REAJUSTES ECONÓMICOS QUE SE FIJEN PARA LA TEMPORADA ACADÉMICA VIGENTE Y LOS</t>
  </si>
  <si>
    <t>DIFERENTES CAMBIOS REGLAMENTARIOS Y NORMATIVOS QUE SE PRESENTEN A LA FECHA DE SUSCRIPCIÓN</t>
  </si>
  <si>
    <t>DEL PRESENTE DOCUMENTO.</t>
  </si>
  <si>
    <t>ACEPTANTE:</t>
  </si>
  <si>
    <t>DOCUMENTO:</t>
  </si>
  <si>
    <t xml:space="preserve">  DE</t>
  </si>
  <si>
    <t>826.002.762-1</t>
  </si>
  <si>
    <t>NIT</t>
  </si>
  <si>
    <t>IMELDA VERGARA GÓMEZ</t>
  </si>
  <si>
    <t>46.352.777 de Sogamoso</t>
  </si>
  <si>
    <t>318 714 3774</t>
  </si>
  <si>
    <t>cartera@unicab.org</t>
  </si>
  <si>
    <t xml:space="preserve">      subsiguientes para un total de</t>
  </si>
  <si>
    <t>pagos anuales hasta la finalización del año académico.</t>
  </si>
  <si>
    <t>Nombre: IMELDA VERGARA GÓMEZ</t>
  </si>
  <si>
    <t>CONSENTIMIENTO INFORMADO</t>
  </si>
  <si>
    <t>En calidad de representante legal del/la estudiante menor de edad, por el presente escrito autorizo a:</t>
  </si>
  <si>
    <t>1. A el COLEGIO VIRTUAL UNICAB, para que pueda presentar los videos, fotografías, imágenes y audios, dentro de los diferentes medios de comunicación como:</t>
  </si>
  <si>
    <t>- Plataformas de: Facebook, Instagram y WhatsApp, para que muestren las diferentes facetas, talentos y habilidades, que desarrolla nuestro/a hijo/a, y que son ejemplo ante la comunidad.</t>
  </si>
  <si>
    <t xml:space="preserve">   ante la comunidad.</t>
  </si>
  <si>
    <t>2. Participar en la elaboración de datos e imágenes del estudiante para publicar y promover en medios de comunicación (los derechos de imágenes durante los diferentes eventos del Colegio Virtual Unicab).</t>
  </si>
  <si>
    <t>diferentes eventos del Colegio Virtual Unicab).</t>
  </si>
  <si>
    <t>De igual forma autorizo al Docente o directivo que pertenezca a la Institución Educativa, para que cumpla el rol de Tutor responsable de la comunicación constante y necesaria para todo el proceso de aprendizaje y el cuidado dentro de los medios de comunicación establecidos por el Colegio.</t>
  </si>
  <si>
    <t>necesaria para todo el proceso de aprendizaje y el cuidado dentro de los medios de comunicación establecidos por el Colegio.</t>
  </si>
  <si>
    <t>Doy garantía que he leído en totalidad el presente documento y manifiesto:</t>
  </si>
  <si>
    <t>(marcar una opción con una X)</t>
  </si>
  <si>
    <t>Autorizar</t>
  </si>
  <si>
    <t>No Autorizar</t>
  </si>
  <si>
    <t>- Páginas web: https://unicab.org  | https://unicab.solutions</t>
  </si>
  <si>
    <r>
      <t xml:space="preserve">SEGUNDO: </t>
    </r>
    <r>
      <rPr>
        <b/>
        <sz val="10"/>
        <color theme="1"/>
        <rFont val="Arial Narrow"/>
        <family val="2"/>
      </rPr>
      <t>FORMAS DE PAGO</t>
    </r>
    <r>
      <rPr>
        <sz val="10"/>
        <color theme="1"/>
        <rFont val="Arial Narrow"/>
        <family val="2"/>
      </rPr>
      <t>. Que la suma expresada, será cancela en un pago inicial por concepto de matrícula, un pago posterior por concepto de costos</t>
    </r>
  </si>
  <si>
    <t xml:space="preserve">académicos y </t>
  </si>
  <si>
    <t xml:space="preserve">  pagos mensuales correspondientes al concepto de pensión, durante los diez (10) primeros días de cada mes, comenzando desde el</t>
  </si>
  <si>
    <t xml:space="preserve">terminando en el año académico, en los canales de pago establecidos por el colegio. Los pagos atrasados y sus respectivos intereses </t>
  </si>
  <si>
    <t>podrán hacerse en el Banco Caja Social al número de cuenta Corriente No. 21003786216 Titular UNICAB Corporación Educativa en formato de consignación</t>
  </si>
  <si>
    <t>Comprobante Universal de Recaudo, o en las oficinas del colegio ubicadas en Calle 13ª 16 - 60 Sogamoso (Boyacá); en BANCO AV VILLAS CUENTA CORRIENTE No.</t>
  </si>
  <si>
    <t xml:space="preserve">72017457–2 TITULAR: UNICAB CORPORACIÓN EDUCATIVA, y por los canales de pago en línea Epayco según instructivo en la página </t>
  </si>
  <si>
    <t>Parágrafo al artículo SEGUNDO: OBLIGACIONES DE LOS PADRES, numeral 7. El cumplimiento extemporáneo de la obligación contenida en el numeral 7° de la</t>
  </si>
  <si>
    <t xml:space="preserve">cláusula seguna del presente contrato generará la aplicación y pago de un recargo equivalente al 5% del costo de la pensión insoluta, el cual, se aplicará sin perjuicio </t>
  </si>
  <si>
    <t>de la generación de intereses moratorios y/o indexación.</t>
  </si>
  <si>
    <t>Página: 4 de 4</t>
  </si>
  <si>
    <t>Página: 3 de 4</t>
  </si>
  <si>
    <t>Página: 2 de 4</t>
  </si>
  <si>
    <t>Página: 1 de 4</t>
  </si>
  <si>
    <t>Página: 1 de 2</t>
  </si>
  <si>
    <t>Página: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</si>
</sst>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0"/>
      <color rgb="FFFF0000"/>
      <name val="Arial Narrow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sz val="7"/>
      <color theme="1"/>
      <name val="Arial Narrow"/>
      <family val="2"/>
    </font>
    <font>
      <sz val="7"/>
      <color theme="1" tint="0.499984740745262"/>
      <name val="Arial Narrow"/>
      <family val="2"/>
    </font>
    <font>
      <sz val="10"/>
      <color theme="1" tint="0.499984740745262"/>
      <name val="Arial Narrow"/>
      <family val="2"/>
    </font>
    <font>
      <b/>
      <sz val="7"/>
      <color theme="1"/>
      <name val="Arial Narrow"/>
      <family val="2"/>
    </font>
    <font>
      <b/>
      <sz val="11"/>
      <color theme="0" tint="-0.499984740745262"/>
      <name val="Arial Narrow"/>
      <family val="2"/>
    </font>
    <font>
      <b/>
      <sz val="14"/>
      <color theme="0" tint="-0.34998626667073579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sz val="7"/>
      <color theme="1" tint="0.249977111117893"/>
      <name val="Arial Narrow"/>
      <family val="2"/>
    </font>
    <font>
      <sz val="10"/>
      <color rgb="FF000000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</fills>
  <borders count="1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4A87D1"/>
      </left>
      <right/>
      <top style="thick">
        <color rgb="FF4A87D1"/>
      </top>
      <bottom/>
      <diagonal/>
    </border>
    <border>
      <left/>
      <right/>
      <top style="thick">
        <color rgb="FF4A87D1"/>
      </top>
      <bottom/>
      <diagonal/>
    </border>
    <border>
      <left/>
      <right style="thick">
        <color rgb="FF4A87D1"/>
      </right>
      <top style="thick">
        <color rgb="FF4A87D1"/>
      </top>
      <bottom/>
      <diagonal/>
    </border>
    <border>
      <left style="thick">
        <color rgb="FF4A87D1"/>
      </left>
      <right/>
      <top/>
      <bottom/>
      <diagonal/>
    </border>
    <border>
      <left/>
      <right style="thick">
        <color rgb="FF4A87D1"/>
      </right>
      <top/>
      <bottom/>
      <diagonal/>
    </border>
    <border>
      <left style="thick">
        <color rgb="FF4A87D1"/>
      </left>
      <right/>
      <top/>
      <bottom style="thick">
        <color rgb="FF4A87D1"/>
      </bottom>
      <diagonal/>
    </border>
    <border>
      <left/>
      <right/>
      <top/>
      <bottom style="thick">
        <color rgb="FF4A87D1"/>
      </bottom>
      <diagonal/>
    </border>
    <border>
      <left/>
      <right style="thick">
        <color rgb="FF4A87D1"/>
      </right>
      <top/>
      <bottom style="thick">
        <color rgb="FF4A87D1"/>
      </bottom>
      <diagonal/>
    </border>
    <border>
      <left style="thick">
        <color rgb="FF4A87D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4A87D1"/>
      </right>
      <top style="thin">
        <color indexed="64"/>
      </top>
      <bottom style="thin">
        <color indexed="64"/>
      </bottom>
      <diagonal/>
    </border>
    <border>
      <left style="thick">
        <color rgb="FF4A87D1"/>
      </left>
      <right style="thin">
        <color indexed="64"/>
      </right>
      <top style="thin">
        <color indexed="64"/>
      </top>
      <bottom style="thick">
        <color rgb="FF4A87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4A87D1"/>
      </bottom>
      <diagonal/>
    </border>
    <border>
      <left style="thin">
        <color indexed="64"/>
      </left>
      <right/>
      <top style="thin">
        <color indexed="64"/>
      </top>
      <bottom style="thick">
        <color rgb="FF4A87D1"/>
      </bottom>
      <diagonal/>
    </border>
    <border>
      <left/>
      <right style="thick">
        <color rgb="FF4A87D1"/>
      </right>
      <top style="thin">
        <color indexed="64"/>
      </top>
      <bottom style="thick">
        <color rgb="FF4A87D1"/>
      </bottom>
      <diagonal/>
    </border>
    <border>
      <left style="thin">
        <color rgb="FF4A87D1"/>
      </left>
      <right/>
      <top style="thin">
        <color rgb="FF4A87D1"/>
      </top>
      <bottom/>
      <diagonal/>
    </border>
    <border>
      <left/>
      <right/>
      <top style="thin">
        <color rgb="FF4A87D1"/>
      </top>
      <bottom/>
      <diagonal/>
    </border>
    <border>
      <left/>
      <right style="thin">
        <color rgb="FF4A87D1"/>
      </right>
      <top style="thin">
        <color rgb="FF4A87D1"/>
      </top>
      <bottom/>
      <diagonal/>
    </border>
    <border>
      <left style="thin">
        <color rgb="FF4A87D1"/>
      </left>
      <right/>
      <top/>
      <bottom/>
      <diagonal/>
    </border>
    <border>
      <left/>
      <right style="thin">
        <color rgb="FF4A87D1"/>
      </right>
      <top/>
      <bottom/>
      <diagonal/>
    </border>
    <border>
      <left style="thin">
        <color rgb="FF4A87D1"/>
      </left>
      <right/>
      <top/>
      <bottom style="thin">
        <color rgb="FF4A87D1"/>
      </bottom>
      <diagonal/>
    </border>
    <border>
      <left/>
      <right/>
      <top/>
      <bottom style="thin">
        <color rgb="FF4A87D1"/>
      </bottom>
      <diagonal/>
    </border>
    <border>
      <left/>
      <right style="thin">
        <color rgb="FF4A87D1"/>
      </right>
      <top/>
      <bottom style="thin">
        <color rgb="FF4A87D1"/>
      </bottom>
      <diagonal/>
    </border>
    <border>
      <left style="thin">
        <color rgb="FF4A87D1"/>
      </left>
      <right/>
      <top style="thin">
        <color rgb="FF4A87D1"/>
      </top>
      <bottom style="thin">
        <color rgb="FF4A87D1"/>
      </bottom>
      <diagonal/>
    </border>
    <border>
      <left/>
      <right/>
      <top style="thin">
        <color rgb="FF4A87D1"/>
      </top>
      <bottom style="thin">
        <color rgb="FF4A87D1"/>
      </bottom>
      <diagonal/>
    </border>
    <border>
      <left/>
      <right style="thin">
        <color rgb="FF4A87D1"/>
      </right>
      <top style="thin">
        <color rgb="FF4A87D1"/>
      </top>
      <bottom style="thin">
        <color rgb="FF4A87D1"/>
      </bottom>
      <diagonal/>
    </border>
    <border>
      <left style="medium">
        <color indexed="64"/>
      </left>
      <right style="thick">
        <color rgb="FF4A87D1"/>
      </right>
      <top style="medium">
        <color indexed="64"/>
      </top>
      <bottom/>
      <diagonal/>
    </border>
    <border>
      <left/>
      <right style="thick">
        <color rgb="FF4A87D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4A87D1"/>
      </bottom>
      <diagonal/>
    </border>
    <border>
      <left style="medium">
        <color indexed="64"/>
      </left>
      <right/>
      <top style="medium">
        <color indexed="64"/>
      </top>
      <bottom style="thick">
        <color rgb="FF4A87D1"/>
      </bottom>
      <diagonal/>
    </border>
    <border>
      <left/>
      <right style="medium">
        <color indexed="64"/>
      </right>
      <top style="medium">
        <color indexed="64"/>
      </top>
      <bottom style="thick">
        <color rgb="FF4A87D1"/>
      </bottom>
      <diagonal/>
    </border>
    <border>
      <left/>
      <right/>
      <top style="medium">
        <color indexed="64"/>
      </top>
      <bottom style="thick">
        <color rgb="FF4A87D1"/>
      </bottom>
      <diagonal/>
    </border>
    <border>
      <left/>
      <right style="thick">
        <color rgb="FF4A87D1"/>
      </right>
      <top style="medium">
        <color indexed="64"/>
      </top>
      <bottom style="thick">
        <color rgb="FF4A87D1"/>
      </bottom>
      <diagonal/>
    </border>
    <border>
      <left style="medium">
        <color indexed="64"/>
      </left>
      <right/>
      <top/>
      <bottom style="thick">
        <color rgb="FF4A87D1"/>
      </bottom>
      <diagonal/>
    </border>
    <border>
      <left/>
      <right style="medium">
        <color indexed="64"/>
      </right>
      <top/>
      <bottom style="thick">
        <color rgb="FF4A87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rgb="FF4A87D1"/>
      </left>
      <right style="thin">
        <color indexed="64"/>
      </right>
      <top style="thick">
        <color rgb="FF4A87D1"/>
      </top>
      <bottom/>
      <diagonal/>
    </border>
    <border>
      <left style="thin">
        <color indexed="64"/>
      </left>
      <right/>
      <top style="thick">
        <color rgb="FF4A87D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4A87D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4A87D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4A87D1"/>
      </top>
      <bottom style="medium">
        <color indexed="64"/>
      </bottom>
      <diagonal/>
    </border>
    <border>
      <left/>
      <right style="thin">
        <color indexed="64"/>
      </right>
      <top style="thick">
        <color rgb="FF4A87D1"/>
      </top>
      <bottom/>
      <diagonal/>
    </border>
    <border>
      <left style="thin">
        <color indexed="64"/>
      </left>
      <right style="thin">
        <color indexed="64"/>
      </right>
      <top style="thick">
        <color rgb="FF4A87D1"/>
      </top>
      <bottom style="thin">
        <color indexed="64"/>
      </bottom>
      <diagonal/>
    </border>
    <border>
      <left style="thin">
        <color indexed="64"/>
      </left>
      <right style="thick">
        <color rgb="FF4A87D1"/>
      </right>
      <top style="thick">
        <color rgb="FF4A87D1"/>
      </top>
      <bottom style="medium">
        <color indexed="64"/>
      </bottom>
      <diagonal/>
    </border>
    <border>
      <left style="thick">
        <color rgb="FF4A87D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rgb="FF4A87D1"/>
      </right>
      <top style="medium">
        <color indexed="64"/>
      </top>
      <bottom style="medium">
        <color indexed="64"/>
      </bottom>
      <diagonal/>
    </border>
    <border>
      <left style="thick">
        <color rgb="FF4A87D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4A87D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4A87D1"/>
      </right>
      <top/>
      <bottom/>
      <diagonal/>
    </border>
    <border>
      <left style="thick">
        <color rgb="FF4A87D1"/>
      </left>
      <right/>
      <top style="thin">
        <color indexed="64"/>
      </top>
      <bottom style="thick">
        <color rgb="FF4A87D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rgb="FF4A87D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rgb="FF4A87D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4A87D1"/>
      </bottom>
      <diagonal/>
    </border>
    <border>
      <left style="thin">
        <color indexed="64"/>
      </left>
      <right style="thick">
        <color rgb="FF4A87D1"/>
      </right>
      <top style="medium">
        <color indexed="64"/>
      </top>
      <bottom style="thick">
        <color rgb="FF4A87D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rgb="FF4A87D1"/>
      </right>
      <top/>
      <bottom style="medium">
        <color indexed="64"/>
      </bottom>
      <diagonal/>
    </border>
    <border>
      <left/>
      <right style="thick">
        <color rgb="FF4A87D1"/>
      </right>
      <top style="medium">
        <color indexed="64"/>
      </top>
      <bottom/>
      <diagonal/>
    </border>
    <border>
      <left style="thick">
        <color rgb="FF4A87D1"/>
      </left>
      <right/>
      <top/>
      <bottom style="thin">
        <color indexed="64"/>
      </bottom>
      <diagonal/>
    </border>
    <border>
      <left style="thick">
        <color rgb="FF4A87D1"/>
      </left>
      <right/>
      <top style="thin">
        <color indexed="64"/>
      </top>
      <bottom style="thin">
        <color indexed="64"/>
      </bottom>
      <diagonal/>
    </border>
    <border>
      <left style="thick">
        <color rgb="FF4A87D1"/>
      </left>
      <right/>
      <top style="thin">
        <color indexed="64"/>
      </top>
      <bottom/>
      <diagonal/>
    </border>
    <border>
      <left style="thick">
        <color rgb="FF4A87D1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4A87D1"/>
      </bottom>
      <diagonal/>
    </border>
    <border>
      <left style="thick">
        <color rgb="FF4A87D1"/>
      </left>
      <right style="thick">
        <color rgb="FF4A87D1"/>
      </right>
      <top style="thick">
        <color rgb="FF4A87D1"/>
      </top>
      <bottom/>
      <diagonal/>
    </border>
    <border>
      <left style="thick">
        <color rgb="FF4A87D1"/>
      </left>
      <right style="thick">
        <color rgb="FF4A87D1"/>
      </right>
      <top/>
      <bottom/>
      <diagonal/>
    </border>
    <border>
      <left style="thick">
        <color rgb="FF4A87D1"/>
      </left>
      <right style="thick">
        <color rgb="FF4A87D1"/>
      </right>
      <top/>
      <bottom style="thin">
        <color indexed="64"/>
      </bottom>
      <diagonal/>
    </border>
    <border>
      <left style="thick">
        <color rgb="FF4A87D1"/>
      </left>
      <right style="thick">
        <color rgb="FF4A87D1"/>
      </right>
      <top style="thin">
        <color indexed="64"/>
      </top>
      <bottom/>
      <diagonal/>
    </border>
    <border>
      <left style="thick">
        <color rgb="FF4A87D1"/>
      </left>
      <right style="thick">
        <color rgb="FF4A87D1"/>
      </right>
      <top/>
      <bottom style="thick">
        <color rgb="FF4A87D1"/>
      </bottom>
      <diagonal/>
    </border>
    <border>
      <left style="thick">
        <color rgb="FF2A568A"/>
      </left>
      <right/>
      <top style="thick">
        <color rgb="FF2A568A"/>
      </top>
      <bottom/>
      <diagonal/>
    </border>
    <border>
      <left/>
      <right/>
      <top style="thick">
        <color rgb="FF2A568A"/>
      </top>
      <bottom/>
      <diagonal/>
    </border>
    <border>
      <left/>
      <right style="thick">
        <color rgb="FF2A568A"/>
      </right>
      <top style="thick">
        <color rgb="FF2A568A"/>
      </top>
      <bottom/>
      <diagonal/>
    </border>
    <border>
      <left style="thick">
        <color rgb="FF2A568A"/>
      </left>
      <right/>
      <top/>
      <bottom/>
      <diagonal/>
    </border>
    <border>
      <left/>
      <right style="thick">
        <color rgb="FF2A568A"/>
      </right>
      <top/>
      <bottom/>
      <diagonal/>
    </border>
    <border>
      <left style="thick">
        <color rgb="FF2A568A"/>
      </left>
      <right/>
      <top/>
      <bottom style="thick">
        <color rgb="FF2A568A"/>
      </bottom>
      <diagonal/>
    </border>
    <border>
      <left/>
      <right/>
      <top/>
      <bottom style="thick">
        <color rgb="FF2A568A"/>
      </bottom>
      <diagonal/>
    </border>
    <border>
      <left/>
      <right style="thick">
        <color rgb="FF2A568A"/>
      </right>
      <top/>
      <bottom style="thick">
        <color rgb="FF2A568A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ck">
        <color rgb="FF2A568A"/>
      </bottom>
      <diagonal/>
    </border>
    <border>
      <left/>
      <right style="medium">
        <color theme="0" tint="-0.34998626667073579"/>
      </right>
      <top/>
      <bottom style="thick">
        <color rgb="FF2A568A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rgb="FF2A568A"/>
      </bottom>
      <diagonal/>
    </border>
    <border>
      <left/>
      <right/>
      <top style="medium">
        <color theme="0" tint="-0.34998626667073579"/>
      </top>
      <bottom style="thick">
        <color rgb="FF2A568A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rgb="FF2A568A"/>
      </bottom>
      <diagonal/>
    </border>
    <border>
      <left style="thick">
        <color rgb="FF4A87D1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ck">
        <color rgb="FF4A87D1"/>
      </left>
      <right style="medium">
        <color theme="0" tint="-0.34998626667073579"/>
      </right>
      <top style="medium">
        <color theme="0" tint="-0.34998626667073579"/>
      </top>
      <bottom style="thick">
        <color rgb="FF4A87D1"/>
      </bottom>
      <diagonal/>
    </border>
    <border>
      <left style="medium">
        <color theme="0" tint="-0.34998626667073579"/>
      </left>
      <right style="thick">
        <color rgb="FF4A87D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ck">
        <color rgb="FF4A87D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ck">
        <color rgb="FF4A87D1"/>
      </bottom>
      <diagonal/>
    </border>
    <border>
      <left style="thick">
        <color rgb="FF4A87D1"/>
      </left>
      <right/>
      <top style="medium">
        <color theme="0" tint="-0.34998626667073579"/>
      </top>
      <bottom style="thick">
        <color rgb="FF4A87D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rgb="FF4A87D1"/>
      </bottom>
      <diagonal/>
    </border>
    <border>
      <left/>
      <right/>
      <top style="medium">
        <color theme="0" tint="-0.34998626667073579"/>
      </top>
      <bottom style="thick">
        <color rgb="FF4A87D1"/>
      </bottom>
      <diagonal/>
    </border>
    <border>
      <left/>
      <right style="thick">
        <color rgb="FF4A87D1"/>
      </right>
      <top style="medium">
        <color theme="0" tint="-0.34998626667073579"/>
      </top>
      <bottom style="thick">
        <color rgb="FF4A87D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ck">
        <color rgb="FF4A87D1"/>
      </left>
      <right style="medium">
        <color theme="0" tint="-0.34998626667073579"/>
      </right>
      <top style="thick">
        <color rgb="FF4A87D1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rgb="FF4A87D1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ck">
        <color rgb="FF4A87D1"/>
      </right>
      <top style="thick">
        <color rgb="FF4A87D1"/>
      </top>
      <bottom style="medium">
        <color theme="0" tint="-0.34998626667073579"/>
      </bottom>
      <diagonal/>
    </border>
    <border>
      <left style="thick">
        <color rgb="FF4A87D1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ck">
        <color rgb="FF4A87D1"/>
      </left>
      <right style="medium">
        <color theme="0" tint="-0.34998626667073579"/>
      </right>
      <top/>
      <bottom style="thick">
        <color rgb="FF4A87D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ck">
        <color rgb="FF4A87D1"/>
      </bottom>
      <diagonal/>
    </border>
    <border>
      <left style="medium">
        <color theme="0" tint="-0.34998626667073579"/>
      </left>
      <right style="thick">
        <color rgb="FF4A87D1"/>
      </right>
      <top style="medium">
        <color theme="0" tint="-0.34998626667073579"/>
      </top>
      <bottom style="thick">
        <color rgb="FF4A87D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2A568A"/>
      </left>
      <right/>
      <top style="thick">
        <color rgb="FF2A568A"/>
      </top>
      <bottom style="thick">
        <color rgb="FF2A568A"/>
      </bottom>
      <diagonal/>
    </border>
    <border>
      <left/>
      <right/>
      <top style="thick">
        <color rgb="FF2A568A"/>
      </top>
      <bottom style="thick">
        <color rgb="FF2A568A"/>
      </bottom>
      <diagonal/>
    </border>
    <border>
      <left/>
      <right style="thick">
        <color rgb="FF2A568A"/>
      </right>
      <top style="thick">
        <color rgb="FF2A568A"/>
      </top>
      <bottom style="thick">
        <color rgb="FF2A568A"/>
      </bottom>
      <diagonal/>
    </border>
    <border>
      <left/>
      <right style="thick">
        <color rgb="FF4A87D1"/>
      </right>
      <top/>
      <bottom style="medium">
        <color theme="0" tint="-0.34998626667073579"/>
      </bottom>
      <diagonal/>
    </border>
    <border>
      <left style="thick">
        <color rgb="FF4A87D1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ck">
        <color rgb="FF4A87D1"/>
      </top>
      <bottom/>
      <diagonal/>
    </border>
    <border>
      <left/>
      <right style="medium">
        <color theme="0" tint="-0.34998626667073579"/>
      </right>
      <top style="thick">
        <color rgb="FF4A87D1"/>
      </top>
      <bottom/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/>
      <bottom style="thick">
        <color rgb="FF4A87D1"/>
      </bottom>
      <diagonal/>
    </border>
    <border>
      <left style="thin">
        <color indexed="64"/>
      </left>
      <right/>
      <top/>
      <bottom style="thick">
        <color rgb="FF4A87D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8" fillId="4" borderId="0" xfId="0" applyFont="1" applyFill="1" applyAlignment="1">
      <alignment horizontal="center"/>
    </xf>
    <xf numFmtId="0" fontId="8" fillId="4" borderId="51" xfId="0" applyFont="1" applyFill="1" applyBorder="1" applyAlignment="1">
      <alignment horizontal="center"/>
    </xf>
    <xf numFmtId="0" fontId="8" fillId="4" borderId="59" xfId="0" applyFont="1" applyFill="1" applyBorder="1" applyAlignment="1">
      <alignment horizontal="center"/>
    </xf>
    <xf numFmtId="0" fontId="8" fillId="4" borderId="62" xfId="0" applyFont="1" applyFill="1" applyBorder="1" applyAlignment="1">
      <alignment horizontal="center"/>
    </xf>
    <xf numFmtId="0" fontId="8" fillId="4" borderId="70" xfId="0" applyFont="1" applyFill="1" applyBorder="1" applyAlignment="1">
      <alignment horizontal="center"/>
    </xf>
    <xf numFmtId="0" fontId="8" fillId="4" borderId="7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8" fillId="4" borderId="75" xfId="0" applyFont="1" applyFill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4" borderId="59" xfId="0" applyFont="1" applyFill="1" applyBorder="1" applyAlignment="1">
      <alignment horizontal="center"/>
    </xf>
    <xf numFmtId="0" fontId="2" fillId="4" borderId="6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86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4" borderId="85" xfId="0" applyFont="1" applyFill="1" applyBorder="1" applyAlignment="1">
      <alignment horizontal="center"/>
    </xf>
    <xf numFmtId="0" fontId="8" fillId="4" borderId="87" xfId="0" applyFont="1" applyFill="1" applyBorder="1" applyAlignment="1">
      <alignment horizontal="center"/>
    </xf>
    <xf numFmtId="0" fontId="9" fillId="4" borderId="87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85" xfId="0" applyFont="1" applyFill="1" applyBorder="1" applyAlignment="1">
      <alignment horizontal="center"/>
    </xf>
    <xf numFmtId="0" fontId="1" fillId="0" borderId="96" xfId="0" applyFont="1" applyBorder="1"/>
    <xf numFmtId="0" fontId="1" fillId="0" borderId="97" xfId="0" applyFont="1" applyBorder="1"/>
    <xf numFmtId="0" fontId="1" fillId="0" borderId="98" xfId="0" applyFont="1" applyBorder="1"/>
    <xf numFmtId="0" fontId="1" fillId="0" borderId="99" xfId="0" applyFont="1" applyBorder="1"/>
    <xf numFmtId="0" fontId="1" fillId="0" borderId="100" xfId="0" applyFont="1" applyBorder="1"/>
    <xf numFmtId="0" fontId="3" fillId="0" borderId="100" xfId="0" applyFont="1" applyBorder="1"/>
    <xf numFmtId="0" fontId="3" fillId="0" borderId="99" xfId="0" applyFont="1" applyBorder="1"/>
    <xf numFmtId="0" fontId="3" fillId="0" borderId="101" xfId="0" applyFont="1" applyBorder="1"/>
    <xf numFmtId="0" fontId="3" fillId="0" borderId="102" xfId="0" applyFont="1" applyBorder="1"/>
    <xf numFmtId="0" fontId="3" fillId="0" borderId="103" xfId="0" applyFont="1" applyBorder="1"/>
    <xf numFmtId="0" fontId="4" fillId="0" borderId="0" xfId="0" applyFont="1"/>
    <xf numFmtId="0" fontId="3" fillId="0" borderId="96" xfId="0" applyFont="1" applyBorder="1"/>
    <xf numFmtId="0" fontId="3" fillId="0" borderId="97" xfId="0" applyFont="1" applyBorder="1"/>
    <xf numFmtId="0" fontId="3" fillId="0" borderId="98" xfId="0" applyFont="1" applyBorder="1"/>
    <xf numFmtId="0" fontId="2" fillId="0" borderId="0" xfId="0" applyFont="1"/>
    <xf numFmtId="0" fontId="3" fillId="0" borderId="106" xfId="0" applyFont="1" applyBorder="1"/>
    <xf numFmtId="0" fontId="3" fillId="0" borderId="107" xfId="0" applyFont="1" applyBorder="1"/>
    <xf numFmtId="0" fontId="3" fillId="0" borderId="108" xfId="0" applyFont="1" applyBorder="1"/>
    <xf numFmtId="0" fontId="3" fillId="0" borderId="109" xfId="0" applyFont="1" applyBorder="1"/>
    <xf numFmtId="0" fontId="3" fillId="0" borderId="111" xfId="0" applyFont="1" applyBorder="1"/>
    <xf numFmtId="0" fontId="7" fillId="4" borderId="2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118" xfId="0" applyFont="1" applyFill="1" applyBorder="1" applyAlignment="1">
      <alignment horizontal="center"/>
    </xf>
    <xf numFmtId="0" fontId="8" fillId="4" borderId="119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8" fillId="4" borderId="125" xfId="0" applyFont="1" applyFill="1" applyBorder="1" applyAlignment="1">
      <alignment horizontal="center"/>
    </xf>
    <xf numFmtId="0" fontId="11" fillId="0" borderId="0" xfId="1" applyBorder="1"/>
    <xf numFmtId="0" fontId="1" fillId="0" borderId="101" xfId="0" applyFont="1" applyBorder="1"/>
    <xf numFmtId="0" fontId="1" fillId="0" borderId="102" xfId="0" applyFont="1" applyBorder="1"/>
    <xf numFmtId="0" fontId="1" fillId="0" borderId="103" xfId="0" applyFont="1" applyBorder="1"/>
    <xf numFmtId="0" fontId="3" fillId="0" borderId="99" xfId="0" applyFont="1" applyBorder="1" applyAlignment="1">
      <alignment horizontal="center"/>
    </xf>
    <xf numFmtId="0" fontId="1" fillId="0" borderId="27" xfId="0" applyFont="1" applyBorder="1" applyAlignment="1" applyProtection="1">
      <alignment horizontal="center"/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4" fillId="0" borderId="81" xfId="0" applyFont="1" applyBorder="1" applyAlignment="1" applyProtection="1">
      <alignment horizontal="center"/>
      <protection locked="0"/>
    </xf>
    <xf numFmtId="0" fontId="4" fillId="0" borderId="81" xfId="0" applyFont="1" applyBorder="1" applyAlignment="1" applyProtection="1">
      <alignment horizontal="center"/>
      <protection locked="0"/>
    </xf>
    <xf numFmtId="0" fontId="3" fillId="0" borderId="137" xfId="0" applyFont="1" applyBorder="1"/>
    <xf numFmtId="0" fontId="3" fillId="0" borderId="44" xfId="0" applyFont="1" applyBorder="1"/>
    <xf numFmtId="0" fontId="3" fillId="0" borderId="1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1" fillId="0" borderId="71" xfId="0" applyFont="1" applyBorder="1" applyProtection="1">
      <protection locked="0"/>
    </xf>
    <xf numFmtId="0" fontId="1" fillId="0" borderId="42" xfId="0" applyFont="1" applyBorder="1" applyProtection="1">
      <protection locked="0"/>
    </xf>
    <xf numFmtId="0" fontId="3" fillId="5" borderId="44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/>
      <protection locked="0"/>
    </xf>
    <xf numFmtId="0" fontId="4" fillId="0" borderId="81" xfId="0" applyFont="1" applyBorder="1"/>
    <xf numFmtId="0" fontId="3" fillId="5" borderId="104" xfId="0" applyFont="1" applyFill="1" applyBorder="1" applyProtection="1">
      <protection locked="0"/>
    </xf>
    <xf numFmtId="0" fontId="3" fillId="5" borderId="102" xfId="0" applyFont="1" applyFill="1" applyBorder="1" applyProtection="1">
      <protection locked="0"/>
    </xf>
    <xf numFmtId="0" fontId="18" fillId="0" borderId="108" xfId="0" applyFont="1" applyBorder="1"/>
    <xf numFmtId="0" fontId="16" fillId="0" borderId="147" xfId="0" applyFont="1" applyBorder="1"/>
    <xf numFmtId="0" fontId="17" fillId="0" borderId="107" xfId="0" applyFont="1" applyBorder="1" applyAlignment="1">
      <alignment vertical="top"/>
    </xf>
    <xf numFmtId="0" fontId="18" fillId="0" borderId="109" xfId="0" applyFont="1" applyBorder="1"/>
    <xf numFmtId="0" fontId="23" fillId="0" borderId="110" xfId="0" applyFont="1" applyBorder="1"/>
    <xf numFmtId="0" fontId="24" fillId="0" borderId="105" xfId="0" applyFont="1" applyBorder="1" applyAlignment="1">
      <alignment vertical="top"/>
    </xf>
    <xf numFmtId="0" fontId="3" fillId="0" borderId="23" xfId="0" applyFont="1" applyBorder="1" applyProtection="1">
      <protection locked="0"/>
    </xf>
    <xf numFmtId="0" fontId="3" fillId="0" borderId="50" xfId="0" applyFont="1" applyBorder="1" applyProtection="1">
      <protection locked="0"/>
    </xf>
    <xf numFmtId="0" fontId="20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1" fillId="5" borderId="1" xfId="0" applyFont="1" applyFill="1" applyBorder="1" applyAlignment="1" applyProtection="1">
      <alignment horizontal="center"/>
      <protection locked="0"/>
    </xf>
    <xf numFmtId="0" fontId="13" fillId="0" borderId="0" xfId="0" applyFont="1"/>
    <xf numFmtId="0" fontId="25" fillId="0" borderId="0" xfId="0" applyFont="1" applyProtection="1">
      <protection locked="0"/>
    </xf>
    <xf numFmtId="0" fontId="10" fillId="0" borderId="0" xfId="0" applyFont="1"/>
    <xf numFmtId="0" fontId="13" fillId="0" borderId="0" xfId="0" applyFont="1" applyProtection="1">
      <protection locked="0"/>
    </xf>
    <xf numFmtId="0" fontId="3" fillId="0" borderId="81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left"/>
    </xf>
    <xf numFmtId="0" fontId="8" fillId="4" borderId="104" xfId="0" applyFont="1" applyFill="1" applyBorder="1" applyAlignment="1">
      <alignment horizontal="center"/>
    </xf>
    <xf numFmtId="0" fontId="8" fillId="4" borderId="124" xfId="0" applyFont="1" applyFill="1" applyBorder="1" applyAlignment="1">
      <alignment horizontal="center"/>
    </xf>
    <xf numFmtId="0" fontId="1" fillId="0" borderId="0" xfId="0" applyFont="1" applyBorder="1"/>
    <xf numFmtId="14" fontId="26" fillId="0" borderId="0" xfId="0" applyNumberFormat="1" applyFont="1"/>
    <xf numFmtId="0" fontId="1" fillId="0" borderId="27" xfId="0" applyFont="1" applyBorder="1" applyAlignment="1" applyProtection="1">
      <alignment horizontal="center"/>
    </xf>
    <xf numFmtId="0" fontId="1" fillId="0" borderId="28" xfId="0" applyFont="1" applyBorder="1" applyAlignment="1" applyProtection="1">
      <alignment horizontal="center"/>
    </xf>
    <xf numFmtId="0" fontId="3" fillId="0" borderId="137" xfId="0" applyFont="1" applyBorder="1" applyAlignment="1" applyProtection="1">
      <alignment horizontal="center"/>
      <protection locked="0"/>
    </xf>
    <xf numFmtId="0" fontId="1" fillId="0" borderId="137" xfId="0" applyFont="1" applyBorder="1" applyAlignment="1" applyProtection="1">
      <alignment horizontal="left"/>
      <protection locked="0"/>
    </xf>
    <xf numFmtId="0" fontId="7" fillId="0" borderId="138" xfId="0" applyFont="1" applyBorder="1" applyAlignment="1">
      <alignment horizontal="center"/>
    </xf>
    <xf numFmtId="0" fontId="7" fillId="0" borderId="139" xfId="0" applyFont="1" applyBorder="1" applyAlignment="1">
      <alignment horizontal="center"/>
    </xf>
    <xf numFmtId="0" fontId="7" fillId="0" borderId="140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5" borderId="10" xfId="0" applyFont="1" applyFill="1" applyBorder="1" applyAlignment="1" applyProtection="1">
      <alignment horizontal="center"/>
      <protection locked="0"/>
    </xf>
    <xf numFmtId="0" fontId="1" fillId="5" borderId="12" xfId="0" applyFont="1" applyFill="1" applyBorder="1" applyAlignment="1" applyProtection="1">
      <alignment horizontal="center"/>
      <protection locked="0"/>
    </xf>
    <xf numFmtId="0" fontId="2" fillId="0" borderId="96" xfId="0" applyFont="1" applyBorder="1" applyAlignment="1">
      <alignment horizontal="distributed"/>
    </xf>
    <xf numFmtId="0" fontId="2" fillId="0" borderId="97" xfId="0" applyFont="1" applyBorder="1" applyAlignment="1">
      <alignment horizontal="distributed"/>
    </xf>
    <xf numFmtId="0" fontId="20" fillId="5" borderId="96" xfId="0" applyFont="1" applyFill="1" applyBorder="1" applyAlignment="1">
      <alignment horizontal="center"/>
    </xf>
    <xf numFmtId="0" fontId="20" fillId="5" borderId="97" xfId="0" applyFont="1" applyFill="1" applyBorder="1" applyAlignment="1">
      <alignment horizontal="center"/>
    </xf>
    <xf numFmtId="0" fontId="20" fillId="5" borderId="98" xfId="0" applyFont="1" applyFill="1" applyBorder="1" applyAlignment="1">
      <alignment horizontal="center"/>
    </xf>
    <xf numFmtId="0" fontId="20" fillId="5" borderId="99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20" fillId="5" borderId="100" xfId="0" applyFont="1" applyFill="1" applyBorder="1" applyAlignment="1">
      <alignment horizontal="center"/>
    </xf>
    <xf numFmtId="0" fontId="20" fillId="5" borderId="101" xfId="0" applyFont="1" applyFill="1" applyBorder="1" applyAlignment="1">
      <alignment horizontal="center"/>
    </xf>
    <xf numFmtId="0" fontId="20" fillId="5" borderId="102" xfId="0" applyFont="1" applyFill="1" applyBorder="1" applyAlignment="1">
      <alignment horizontal="center"/>
    </xf>
    <xf numFmtId="0" fontId="20" fillId="5" borderId="103" xfId="0" applyFont="1" applyFill="1" applyBorder="1" applyAlignment="1">
      <alignment horizontal="center"/>
    </xf>
    <xf numFmtId="0" fontId="1" fillId="5" borderId="97" xfId="0" applyFont="1" applyFill="1" applyBorder="1" applyAlignment="1">
      <alignment horizontal="center" vertical="center"/>
    </xf>
    <xf numFmtId="0" fontId="1" fillId="5" borderId="9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00" xfId="0" applyFont="1" applyFill="1" applyBorder="1" applyAlignment="1">
      <alignment horizontal="center" vertical="center"/>
    </xf>
    <xf numFmtId="0" fontId="2" fillId="0" borderId="99" xfId="0" applyFont="1" applyBorder="1" applyAlignment="1">
      <alignment horizontal="distributed"/>
    </xf>
    <xf numFmtId="0" fontId="2" fillId="0" borderId="0" xfId="0" applyFont="1" applyAlignment="1">
      <alignment horizontal="distributed"/>
    </xf>
    <xf numFmtId="0" fontId="2" fillId="0" borderId="9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81" xfId="0" applyFont="1" applyBorder="1" applyAlignment="1" applyProtection="1">
      <alignment horizontal="left"/>
      <protection locked="0"/>
    </xf>
    <xf numFmtId="0" fontId="3" fillId="0" borderId="0" xfId="0" quotePrefix="1" applyFont="1" applyAlignment="1">
      <alignment horizontal="left" wrapText="1"/>
    </xf>
    <xf numFmtId="0" fontId="4" fillId="0" borderId="102" xfId="0" applyFont="1" applyBorder="1" applyAlignment="1">
      <alignment horizontal="left"/>
    </xf>
    <xf numFmtId="0" fontId="4" fillId="0" borderId="0" xfId="0" applyFont="1" applyAlignment="1">
      <alignment horizontal="distributed"/>
    </xf>
    <xf numFmtId="0" fontId="4" fillId="0" borderId="0" xfId="0" applyFont="1" applyAlignment="1">
      <alignment horizontal="left"/>
    </xf>
    <xf numFmtId="0" fontId="2" fillId="0" borderId="81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4" fillId="2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3" fillId="5" borderId="8" xfId="0" applyFont="1" applyFill="1" applyBorder="1" applyAlignment="1" applyProtection="1">
      <alignment horizontal="center" vertical="center"/>
      <protection locked="0"/>
    </xf>
    <xf numFmtId="0" fontId="3" fillId="5" borderId="9" xfId="0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0" xfId="0" applyFont="1" applyFill="1" applyBorder="1" applyAlignment="1">
      <alignment horizontal="center"/>
    </xf>
    <xf numFmtId="0" fontId="8" fillId="4" borderId="81" xfId="0" applyFont="1" applyFill="1" applyBorder="1" applyAlignment="1">
      <alignment horizontal="center"/>
    </xf>
    <xf numFmtId="0" fontId="3" fillId="5" borderId="84" xfId="0" applyFont="1" applyFill="1" applyBorder="1" applyAlignment="1" applyProtection="1">
      <alignment horizontal="center" vertical="center"/>
      <protection locked="0"/>
    </xf>
    <xf numFmtId="0" fontId="3" fillId="5" borderId="83" xfId="0" applyFont="1" applyFill="1" applyBorder="1" applyAlignment="1" applyProtection="1">
      <alignment horizontal="center" vertical="center"/>
      <protection locked="0"/>
    </xf>
    <xf numFmtId="0" fontId="8" fillId="4" borderId="67" xfId="0" applyFont="1" applyFill="1" applyBorder="1" applyAlignment="1">
      <alignment horizontal="center"/>
    </xf>
    <xf numFmtId="0" fontId="8" fillId="4" borderId="68" xfId="0" applyFont="1" applyFill="1" applyBorder="1" applyAlignment="1">
      <alignment horizontal="center"/>
    </xf>
    <xf numFmtId="0" fontId="8" fillId="4" borderId="63" xfId="0" applyFont="1" applyFill="1" applyBorder="1" applyAlignment="1">
      <alignment horizontal="center"/>
    </xf>
    <xf numFmtId="0" fontId="8" fillId="4" borderId="56" xfId="0" applyFont="1" applyFill="1" applyBorder="1" applyAlignment="1">
      <alignment horizontal="center"/>
    </xf>
    <xf numFmtId="0" fontId="8" fillId="4" borderId="57" xfId="0" applyFont="1" applyFill="1" applyBorder="1" applyAlignment="1">
      <alignment horizontal="center"/>
    </xf>
    <xf numFmtId="0" fontId="1" fillId="0" borderId="17" xfId="0" applyFont="1" applyBorder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1" fillId="0" borderId="88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83" xfId="0" applyFont="1" applyBorder="1" applyAlignment="1" applyProtection="1">
      <alignment horizontal="left" vertical="center"/>
      <protection locked="0"/>
    </xf>
    <xf numFmtId="0" fontId="8" fillId="4" borderId="59" xfId="0" applyFont="1" applyFill="1" applyBorder="1" applyAlignment="1">
      <alignment horizontal="center"/>
    </xf>
    <xf numFmtId="0" fontId="8" fillId="4" borderId="74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52" xfId="0" applyFont="1" applyFill="1" applyBorder="1" applyAlignment="1">
      <alignment horizontal="center"/>
    </xf>
    <xf numFmtId="0" fontId="8" fillId="3" borderId="56" xfId="0" applyFont="1" applyFill="1" applyBorder="1" applyAlignment="1">
      <alignment horizontal="center"/>
    </xf>
    <xf numFmtId="0" fontId="8" fillId="3" borderId="60" xfId="0" applyFont="1" applyFill="1" applyBorder="1" applyAlignment="1">
      <alignment horizontal="center"/>
    </xf>
    <xf numFmtId="0" fontId="8" fillId="3" borderId="58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3" borderId="57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51" xfId="0" applyFont="1" applyFill="1" applyBorder="1" applyAlignment="1">
      <alignment horizontal="center"/>
    </xf>
    <xf numFmtId="0" fontId="6" fillId="4" borderId="59" xfId="0" applyFont="1" applyFill="1" applyBorder="1" applyAlignment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54" xfId="0" applyFont="1" applyBorder="1" applyAlignment="1" applyProtection="1">
      <alignment horizontal="center"/>
      <protection locked="0"/>
    </xf>
    <xf numFmtId="0" fontId="3" fillId="0" borderId="73" xfId="0" applyFont="1" applyBorder="1" applyAlignment="1" applyProtection="1">
      <alignment horizontal="center"/>
      <protection locked="0"/>
    </xf>
    <xf numFmtId="0" fontId="8" fillId="5" borderId="10" xfId="0" applyFont="1" applyFill="1" applyBorder="1" applyAlignment="1" applyProtection="1">
      <alignment horizontal="center"/>
      <protection locked="0"/>
    </xf>
    <xf numFmtId="0" fontId="8" fillId="5" borderId="11" xfId="0" applyFont="1" applyFill="1" applyBorder="1" applyAlignment="1" applyProtection="1">
      <alignment horizontal="center"/>
      <protection locked="0"/>
    </xf>
    <xf numFmtId="0" fontId="8" fillId="5" borderId="43" xfId="0" applyFont="1" applyFill="1" applyBorder="1" applyAlignment="1" applyProtection="1">
      <alignment horizontal="center"/>
      <protection locked="0"/>
    </xf>
    <xf numFmtId="0" fontId="13" fillId="5" borderId="10" xfId="0" applyFont="1" applyFill="1" applyBorder="1" applyAlignment="1" applyProtection="1">
      <alignment horizontal="center"/>
      <protection locked="0"/>
    </xf>
    <xf numFmtId="0" fontId="13" fillId="5" borderId="43" xfId="0" applyFont="1" applyFill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5" borderId="10" xfId="0" applyFont="1" applyFill="1" applyBorder="1" applyAlignment="1" applyProtection="1">
      <alignment horizontal="left"/>
      <protection locked="0"/>
    </xf>
    <xf numFmtId="0" fontId="3" fillId="5" borderId="11" xfId="0" applyFont="1" applyFill="1" applyBorder="1" applyAlignment="1" applyProtection="1">
      <alignment horizontal="left"/>
      <protection locked="0"/>
    </xf>
    <xf numFmtId="0" fontId="3" fillId="5" borderId="12" xfId="0" applyFont="1" applyFill="1" applyBorder="1" applyAlignment="1" applyProtection="1">
      <alignment horizontal="left"/>
      <protection locked="0"/>
    </xf>
    <xf numFmtId="0" fontId="13" fillId="5" borderId="12" xfId="0" applyFont="1" applyFill="1" applyBorder="1" applyAlignment="1" applyProtection="1">
      <alignment horizontal="center"/>
      <protection locked="0"/>
    </xf>
    <xf numFmtId="0" fontId="3" fillId="5" borderId="81" xfId="0" applyFont="1" applyFill="1" applyBorder="1" applyAlignment="1" applyProtection="1">
      <alignment horizontal="center"/>
      <protection locked="0"/>
    </xf>
    <xf numFmtId="0" fontId="3" fillId="5" borderId="17" xfId="0" applyFont="1" applyFill="1" applyBorder="1" applyAlignment="1" applyProtection="1">
      <alignment horizontal="left" vertical="center"/>
      <protection locked="0"/>
    </xf>
    <xf numFmtId="0" fontId="3" fillId="5" borderId="18" xfId="0" applyFont="1" applyFill="1" applyBorder="1" applyAlignment="1" applyProtection="1">
      <alignment horizontal="left" vertical="center"/>
      <protection locked="0"/>
    </xf>
    <xf numFmtId="0" fontId="3" fillId="5" borderId="19" xfId="0" applyFont="1" applyFill="1" applyBorder="1" applyAlignment="1" applyProtection="1">
      <alignment horizontal="left" vertical="center"/>
      <protection locked="0"/>
    </xf>
    <xf numFmtId="0" fontId="3" fillId="5" borderId="88" xfId="0" applyFont="1" applyFill="1" applyBorder="1" applyAlignment="1" applyProtection="1">
      <alignment horizontal="left" vertical="center"/>
      <protection locked="0"/>
    </xf>
    <xf numFmtId="0" fontId="3" fillId="5" borderId="8" xfId="0" applyFont="1" applyFill="1" applyBorder="1" applyAlignment="1" applyProtection="1">
      <alignment horizontal="left" vertical="center"/>
      <protection locked="0"/>
    </xf>
    <xf numFmtId="0" fontId="3" fillId="5" borderId="83" xfId="0" applyFont="1" applyFill="1" applyBorder="1" applyAlignment="1" applyProtection="1">
      <alignment horizontal="left" vertical="center"/>
      <protection locked="0"/>
    </xf>
    <xf numFmtId="0" fontId="3" fillId="5" borderId="43" xfId="0" applyFont="1" applyFill="1" applyBorder="1" applyAlignment="1" applyProtection="1">
      <alignment horizontal="left"/>
      <protection locked="0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70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83" xfId="0" applyFont="1" applyFill="1" applyBorder="1" applyAlignment="1">
      <alignment horizontal="center"/>
    </xf>
    <xf numFmtId="0" fontId="3" fillId="0" borderId="17" xfId="0" applyFont="1" applyBorder="1" applyAlignment="1" applyProtection="1">
      <alignment horizontal="left" vertical="center"/>
      <protection locked="0"/>
    </xf>
    <xf numFmtId="0" fontId="3" fillId="0" borderId="18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3" fillId="0" borderId="88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83" xfId="0" applyFont="1" applyBorder="1" applyAlignment="1" applyProtection="1">
      <alignment horizontal="left" vertical="center"/>
      <protection locked="0"/>
    </xf>
    <xf numFmtId="0" fontId="2" fillId="0" borderId="61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8" fillId="4" borderId="94" xfId="0" applyFont="1" applyFill="1" applyBorder="1" applyAlignment="1">
      <alignment horizontal="center" vertical="center"/>
    </xf>
    <xf numFmtId="0" fontId="8" fillId="4" borderId="95" xfId="0" applyFont="1" applyFill="1" applyBorder="1" applyAlignment="1">
      <alignment horizontal="center" vertical="center"/>
    </xf>
    <xf numFmtId="0" fontId="3" fillId="5" borderId="10" xfId="0" applyFont="1" applyFill="1" applyBorder="1" applyAlignment="1" applyProtection="1">
      <alignment horizontal="center"/>
      <protection locked="0"/>
    </xf>
    <xf numFmtId="0" fontId="3" fillId="5" borderId="11" xfId="0" applyFont="1" applyFill="1" applyBorder="1" applyAlignment="1" applyProtection="1">
      <alignment horizontal="center"/>
      <protection locked="0"/>
    </xf>
    <xf numFmtId="0" fontId="3" fillId="5" borderId="12" xfId="0" applyFont="1" applyFill="1" applyBorder="1" applyAlignment="1" applyProtection="1">
      <alignment horizontal="center"/>
      <protection locked="0"/>
    </xf>
    <xf numFmtId="0" fontId="3" fillId="0" borderId="76" xfId="0" applyFont="1" applyBorder="1" applyAlignment="1">
      <alignment horizontal="left"/>
    </xf>
    <xf numFmtId="0" fontId="3" fillId="0" borderId="77" xfId="0" applyFont="1" applyBorder="1" applyAlignment="1">
      <alignment horizontal="left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8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1" fillId="0" borderId="29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4" borderId="62" xfId="0" applyFont="1" applyFill="1" applyBorder="1" applyAlignment="1">
      <alignment horizontal="center"/>
    </xf>
    <xf numFmtId="0" fontId="8" fillId="4" borderId="89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90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83" xfId="0" applyFont="1" applyBorder="1" applyAlignment="1">
      <alignment horizontal="center"/>
    </xf>
    <xf numFmtId="0" fontId="8" fillId="0" borderId="88" xfId="0" applyFont="1" applyBorder="1" applyAlignment="1">
      <alignment horizontal="center"/>
    </xf>
    <xf numFmtId="0" fontId="8" fillId="4" borderId="91" xfId="0" applyFont="1" applyFill="1" applyBorder="1" applyAlignment="1">
      <alignment horizontal="center" vertical="center" wrapText="1"/>
    </xf>
    <xf numFmtId="0" fontId="8" fillId="4" borderId="92" xfId="0" applyFont="1" applyFill="1" applyBorder="1" applyAlignment="1">
      <alignment horizontal="center" vertical="center"/>
    </xf>
    <xf numFmtId="0" fontId="8" fillId="4" borderId="93" xfId="0" applyFont="1" applyFill="1" applyBorder="1" applyAlignment="1">
      <alignment horizontal="center" vertical="center"/>
    </xf>
    <xf numFmtId="0" fontId="8" fillId="4" borderId="72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5" borderId="47" xfId="0" applyFont="1" applyFill="1" applyBorder="1" applyAlignment="1" applyProtection="1">
      <alignment horizontal="left"/>
      <protection locked="0"/>
    </xf>
    <xf numFmtId="0" fontId="3" fillId="5" borderId="46" xfId="0" applyFont="1" applyFill="1" applyBorder="1" applyAlignment="1" applyProtection="1">
      <alignment horizontal="left"/>
      <protection locked="0"/>
    </xf>
    <xf numFmtId="0" fontId="3" fillId="5" borderId="45" xfId="0" applyFont="1" applyFill="1" applyBorder="1" applyAlignment="1" applyProtection="1">
      <alignment horizontal="left"/>
      <protection locked="0"/>
    </xf>
    <xf numFmtId="0" fontId="3" fillId="5" borderId="48" xfId="0" applyFont="1" applyFill="1" applyBorder="1" applyAlignment="1" applyProtection="1">
      <alignment horizontal="left"/>
      <protection locked="0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0" borderId="12" xfId="0" applyFont="1" applyBorder="1" applyAlignment="1" applyProtection="1">
      <alignment horizontal="left"/>
      <protection locked="0"/>
    </xf>
    <xf numFmtId="0" fontId="3" fillId="0" borderId="43" xfId="0" applyFont="1" applyBorder="1" applyAlignment="1" applyProtection="1">
      <alignment horizontal="left"/>
      <protection locked="0"/>
    </xf>
    <xf numFmtId="0" fontId="2" fillId="0" borderId="51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3" fillId="5" borderId="76" xfId="0" applyFont="1" applyFill="1" applyBorder="1" applyAlignment="1" applyProtection="1">
      <alignment horizontal="center" vertical="center"/>
      <protection locked="0"/>
    </xf>
    <xf numFmtId="0" fontId="3" fillId="5" borderId="78" xfId="0" applyFont="1" applyFill="1" applyBorder="1" applyAlignment="1" applyProtection="1">
      <alignment horizontal="center" vertical="center"/>
      <protection locked="0"/>
    </xf>
    <xf numFmtId="0" fontId="3" fillId="5" borderId="77" xfId="0" applyFont="1" applyFill="1" applyBorder="1" applyAlignment="1" applyProtection="1">
      <alignment horizontal="center" vertical="center"/>
      <protection locked="0"/>
    </xf>
    <xf numFmtId="0" fontId="3" fillId="5" borderId="76" xfId="0" applyFont="1" applyFill="1" applyBorder="1" applyAlignment="1" applyProtection="1">
      <alignment horizontal="left" vertical="center"/>
      <protection locked="0"/>
    </xf>
    <xf numFmtId="0" fontId="3" fillId="5" borderId="78" xfId="0" applyFont="1" applyFill="1" applyBorder="1" applyAlignment="1" applyProtection="1">
      <alignment horizontal="left" vertical="center"/>
      <protection locked="0"/>
    </xf>
    <xf numFmtId="0" fontId="3" fillId="5" borderId="79" xfId="0" applyFont="1" applyFill="1" applyBorder="1" applyAlignment="1" applyProtection="1">
      <alignment horizontal="left" vertical="center"/>
      <protection locked="0"/>
    </xf>
    <xf numFmtId="0" fontId="3" fillId="0" borderId="64" xfId="0" applyFont="1" applyBorder="1" applyAlignment="1">
      <alignment horizontal="left"/>
    </xf>
    <xf numFmtId="0" fontId="3" fillId="0" borderId="65" xfId="0" applyFont="1" applyBorder="1" applyAlignment="1">
      <alignment horizontal="left"/>
    </xf>
    <xf numFmtId="0" fontId="3" fillId="0" borderId="66" xfId="0" applyFont="1" applyBorder="1" applyAlignment="1">
      <alignment horizontal="left"/>
    </xf>
    <xf numFmtId="0" fontId="3" fillId="0" borderId="69" xfId="0" applyFont="1" applyBorder="1" applyAlignment="1">
      <alignment horizontal="left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54" xfId="0" applyFont="1" applyBorder="1" applyAlignment="1" applyProtection="1">
      <alignment horizontal="left"/>
      <protection locked="0"/>
    </xf>
    <xf numFmtId="0" fontId="3" fillId="0" borderId="55" xfId="0" applyFont="1" applyBorder="1" applyAlignment="1" applyProtection="1">
      <alignment horizontal="left"/>
      <protection locked="0"/>
    </xf>
    <xf numFmtId="0" fontId="8" fillId="0" borderId="149" xfId="0" applyFont="1" applyBorder="1" applyAlignment="1">
      <alignment horizontal="center"/>
    </xf>
    <xf numFmtId="0" fontId="8" fillId="0" borderId="150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76" xfId="0" applyFont="1" applyBorder="1" applyAlignment="1" applyProtection="1">
      <alignment horizontal="center"/>
      <protection locked="0"/>
    </xf>
    <xf numFmtId="0" fontId="3" fillId="0" borderId="78" xfId="0" applyFont="1" applyBorder="1" applyAlignment="1" applyProtection="1">
      <alignment horizontal="center"/>
      <protection locked="0"/>
    </xf>
    <xf numFmtId="0" fontId="3" fillId="0" borderId="79" xfId="0" applyFont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3" fillId="5" borderId="3" xfId="0" applyFont="1" applyFill="1" applyBorder="1" applyAlignment="1" applyProtection="1">
      <alignment horizontal="left" vertical="center"/>
      <protection locked="0"/>
    </xf>
    <xf numFmtId="0" fontId="3" fillId="5" borderId="4" xfId="0" applyFont="1" applyFill="1" applyBorder="1" applyAlignment="1" applyProtection="1">
      <alignment horizontal="left" vertical="center"/>
      <protection locked="0"/>
    </xf>
    <xf numFmtId="0" fontId="3" fillId="5" borderId="5" xfId="0" applyFont="1" applyFill="1" applyBorder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0" fontId="3" fillId="5" borderId="6" xfId="0" applyFont="1" applyFill="1" applyBorder="1" applyAlignment="1" applyProtection="1">
      <alignment horizontal="left" vertical="center"/>
      <protection locked="0"/>
    </xf>
    <xf numFmtId="0" fontId="3" fillId="5" borderId="7" xfId="0" applyFont="1" applyFill="1" applyBorder="1" applyAlignment="1" applyProtection="1">
      <alignment horizontal="left" vertical="center"/>
      <protection locked="0"/>
    </xf>
    <xf numFmtId="0" fontId="3" fillId="5" borderId="9" xfId="0" applyFont="1" applyFill="1" applyBorder="1" applyAlignment="1" applyProtection="1">
      <alignment horizontal="left" vertical="center"/>
      <protection locked="0"/>
    </xf>
    <xf numFmtId="0" fontId="3" fillId="5" borderId="84" xfId="0" applyFont="1" applyFill="1" applyBorder="1" applyAlignment="1" applyProtection="1">
      <alignment horizontal="left" vertical="center"/>
      <protection locked="0"/>
    </xf>
    <xf numFmtId="0" fontId="3" fillId="5" borderId="21" xfId="0" applyFont="1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80" xfId="0" applyFont="1" applyFill="1" applyBorder="1" applyAlignment="1">
      <alignment horizontal="center" vertical="center"/>
    </xf>
    <xf numFmtId="0" fontId="8" fillId="4" borderId="81" xfId="0" applyFont="1" applyFill="1" applyBorder="1" applyAlignment="1">
      <alignment horizontal="center" vertical="center"/>
    </xf>
    <xf numFmtId="0" fontId="8" fillId="4" borderId="82" xfId="0" applyFont="1" applyFill="1" applyBorder="1" applyAlignment="1">
      <alignment horizontal="center" vertical="center"/>
    </xf>
    <xf numFmtId="0" fontId="3" fillId="5" borderId="3" xfId="0" applyFont="1" applyFill="1" applyBorder="1" applyAlignment="1" applyProtection="1">
      <alignment horizontal="center"/>
      <protection locked="0"/>
    </xf>
    <xf numFmtId="0" fontId="3" fillId="5" borderId="4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8" fillId="3" borderId="99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00" xfId="0" applyFont="1" applyFill="1" applyBorder="1" applyAlignment="1">
      <alignment horizontal="center"/>
    </xf>
    <xf numFmtId="0" fontId="3" fillId="0" borderId="81" xfId="0" applyFont="1" applyBorder="1" applyAlignment="1" applyProtection="1">
      <alignment horizontal="center"/>
      <protection locked="0"/>
    </xf>
    <xf numFmtId="0" fontId="4" fillId="0" borderId="81" xfId="0" applyFont="1" applyBorder="1" applyAlignment="1" applyProtection="1">
      <alignment horizontal="center"/>
      <protection locked="0"/>
    </xf>
    <xf numFmtId="0" fontId="2" fillId="0" borderId="81" xfId="0" applyFont="1" applyBorder="1" applyAlignment="1">
      <alignment horizontal="left"/>
    </xf>
    <xf numFmtId="0" fontId="6" fillId="3" borderId="104" xfId="0" applyFont="1" applyFill="1" applyBorder="1" applyAlignment="1">
      <alignment horizontal="left"/>
    </xf>
    <xf numFmtId="0" fontId="6" fillId="3" borderId="115" xfId="0" applyFont="1" applyFill="1" applyBorder="1" applyAlignment="1">
      <alignment horizontal="left"/>
    </xf>
    <xf numFmtId="0" fontId="6" fillId="3" borderId="116" xfId="0" applyFont="1" applyFill="1" applyBorder="1" applyAlignment="1">
      <alignment horizontal="left"/>
    </xf>
    <xf numFmtId="0" fontId="6" fillId="3" borderId="117" xfId="0" applyFont="1" applyFill="1" applyBorder="1" applyAlignment="1">
      <alignment horizontal="left"/>
    </xf>
    <xf numFmtId="0" fontId="8" fillId="0" borderId="105" xfId="0" applyFont="1" applyBorder="1" applyAlignment="1">
      <alignment horizontal="center"/>
    </xf>
    <xf numFmtId="0" fontId="8" fillId="0" borderId="106" xfId="0" applyFont="1" applyBorder="1" applyAlignment="1">
      <alignment horizontal="center"/>
    </xf>
    <xf numFmtId="0" fontId="8" fillId="0" borderId="107" xfId="0" applyFont="1" applyBorder="1" applyAlignment="1">
      <alignment horizontal="center"/>
    </xf>
    <xf numFmtId="0" fontId="8" fillId="0" borderId="113" xfId="0" applyFont="1" applyBorder="1" applyAlignment="1">
      <alignment horizontal="center"/>
    </xf>
    <xf numFmtId="0" fontId="8" fillId="0" borderId="102" xfId="0" applyFont="1" applyBorder="1" applyAlignment="1">
      <alignment horizontal="center"/>
    </xf>
    <xf numFmtId="0" fontId="8" fillId="0" borderId="114" xfId="0" applyFont="1" applyBorder="1" applyAlignment="1">
      <alignment horizontal="center"/>
    </xf>
    <xf numFmtId="0" fontId="8" fillId="4" borderId="104" xfId="0" applyFont="1" applyFill="1" applyBorder="1" applyAlignment="1">
      <alignment horizontal="center"/>
    </xf>
    <xf numFmtId="0" fontId="19" fillId="0" borderId="147" xfId="0" applyFont="1" applyBorder="1" applyAlignment="1" applyProtection="1">
      <alignment horizontal="left"/>
      <protection locked="0"/>
    </xf>
    <xf numFmtId="0" fontId="19" fillId="0" borderId="148" xfId="0" applyFont="1" applyBorder="1" applyAlignment="1" applyProtection="1">
      <alignment horizontal="left"/>
      <protection locked="0"/>
    </xf>
    <xf numFmtId="0" fontId="22" fillId="0" borderId="145" xfId="0" applyFont="1" applyBorder="1" applyAlignment="1">
      <alignment horizontal="left"/>
    </xf>
    <xf numFmtId="0" fontId="22" fillId="0" borderId="81" xfId="0" applyFont="1" applyBorder="1" applyAlignment="1">
      <alignment horizontal="left"/>
    </xf>
    <xf numFmtId="0" fontId="22" fillId="0" borderId="146" xfId="0" applyFont="1" applyBorder="1" applyAlignment="1">
      <alignment horizontal="left"/>
    </xf>
    <xf numFmtId="0" fontId="19" fillId="0" borderId="147" xfId="0" applyFont="1" applyBorder="1" applyAlignment="1">
      <alignment horizontal="left"/>
    </xf>
    <xf numFmtId="0" fontId="19" fillId="0" borderId="148" xfId="0" applyFont="1" applyBorder="1" applyAlignment="1">
      <alignment horizontal="left"/>
    </xf>
    <xf numFmtId="0" fontId="19" fillId="0" borderId="147" xfId="0" applyFont="1" applyBorder="1" applyAlignment="1" applyProtection="1">
      <alignment horizontal="center"/>
      <protection locked="0"/>
    </xf>
    <xf numFmtId="0" fontId="19" fillId="0" borderId="148" xfId="0" applyFont="1" applyBorder="1" applyAlignment="1" applyProtection="1">
      <alignment horizontal="center"/>
      <protection locked="0"/>
    </xf>
    <xf numFmtId="0" fontId="22" fillId="0" borderId="145" xfId="0" applyFont="1" applyBorder="1" applyAlignment="1" applyProtection="1">
      <alignment horizontal="left"/>
      <protection locked="0"/>
    </xf>
    <xf numFmtId="0" fontId="22" fillId="0" borderId="81" xfId="0" applyFont="1" applyBorder="1" applyAlignment="1" applyProtection="1">
      <alignment horizontal="left"/>
      <protection locked="0"/>
    </xf>
    <xf numFmtId="0" fontId="22" fillId="0" borderId="146" xfId="0" applyFont="1" applyBorder="1" applyAlignment="1" applyProtection="1">
      <alignment horizontal="left"/>
      <protection locked="0"/>
    </xf>
    <xf numFmtId="0" fontId="3" fillId="0" borderId="0" xfId="0" applyFont="1" applyAlignment="1">
      <alignment horizontal="distributed"/>
    </xf>
    <xf numFmtId="0" fontId="1" fillId="0" borderId="0" xfId="0" applyFont="1" applyAlignment="1">
      <alignment horizontal="center"/>
    </xf>
    <xf numFmtId="0" fontId="3" fillId="0" borderId="137" xfId="0" applyFont="1" applyBorder="1" applyAlignment="1" applyProtection="1">
      <alignment horizontal="center"/>
    </xf>
    <xf numFmtId="0" fontId="1" fillId="0" borderId="137" xfId="0" applyFont="1" applyBorder="1" applyAlignment="1" applyProtection="1">
      <alignment horizontal="left"/>
    </xf>
    <xf numFmtId="0" fontId="3" fillId="0" borderId="81" xfId="0" applyFont="1" applyBorder="1" applyAlignment="1" applyProtection="1">
      <alignment horizontal="left"/>
    </xf>
    <xf numFmtId="0" fontId="13" fillId="0" borderId="81" xfId="0" applyFont="1" applyBorder="1" applyAlignment="1" applyProtection="1">
      <alignment horizontal="center"/>
    </xf>
    <xf numFmtId="0" fontId="25" fillId="0" borderId="81" xfId="0" applyFont="1" applyBorder="1" applyAlignment="1" applyProtection="1">
      <alignment horizontal="center"/>
    </xf>
    <xf numFmtId="0" fontId="13" fillId="0" borderId="0" xfId="0" applyFont="1" applyAlignment="1">
      <alignment horizontal="distributed"/>
    </xf>
    <xf numFmtId="0" fontId="8" fillId="0" borderId="124" xfId="0" applyFont="1" applyBorder="1" applyAlignment="1">
      <alignment horizontal="center"/>
    </xf>
    <xf numFmtId="0" fontId="11" fillId="0" borderId="126" xfId="1" applyBorder="1" applyAlignment="1" applyProtection="1">
      <alignment horizontal="center"/>
    </xf>
    <xf numFmtId="0" fontId="3" fillId="0" borderId="127" xfId="0" applyFont="1" applyBorder="1" applyAlignment="1">
      <alignment horizontal="center"/>
    </xf>
    <xf numFmtId="0" fontId="3" fillId="0" borderId="128" xfId="0" applyFont="1" applyBorder="1" applyAlignment="1">
      <alignment horizontal="center"/>
    </xf>
    <xf numFmtId="0" fontId="1" fillId="0" borderId="81" xfId="0" applyFont="1" applyBorder="1" applyAlignment="1" applyProtection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2" xfId="0" applyFont="1" applyBorder="1" applyAlignment="1">
      <alignment horizontal="center" vertical="center" wrapText="1"/>
    </xf>
    <xf numFmtId="0" fontId="7" fillId="0" borderId="111" xfId="0" applyFont="1" applyBorder="1" applyAlignment="1">
      <alignment horizontal="center" vertical="center" wrapText="1"/>
    </xf>
    <xf numFmtId="0" fontId="8" fillId="4" borderId="143" xfId="0" applyFont="1" applyFill="1" applyBorder="1" applyAlignment="1">
      <alignment horizontal="center" vertical="center"/>
    </xf>
    <xf numFmtId="0" fontId="8" fillId="4" borderId="144" xfId="0" applyFont="1" applyFill="1" applyBorder="1" applyAlignment="1">
      <alignment horizontal="center" vertical="center"/>
    </xf>
    <xf numFmtId="0" fontId="8" fillId="4" borderId="110" xfId="0" applyFont="1" applyFill="1" applyBorder="1" applyAlignment="1">
      <alignment horizontal="center" vertical="center"/>
    </xf>
    <xf numFmtId="0" fontId="8" fillId="4" borderId="112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/>
    </xf>
    <xf numFmtId="0" fontId="8" fillId="0" borderId="121" xfId="0" applyFont="1" applyBorder="1" applyAlignment="1">
      <alignment horizontal="center"/>
    </xf>
    <xf numFmtId="0" fontId="8" fillId="0" borderId="122" xfId="0" applyFont="1" applyBorder="1" applyAlignment="1">
      <alignment horizontal="center"/>
    </xf>
    <xf numFmtId="0" fontId="8" fillId="0" borderId="123" xfId="0" applyFont="1" applyBorder="1" applyAlignment="1">
      <alignment horizontal="center"/>
    </xf>
    <xf numFmtId="0" fontId="13" fillId="0" borderId="104" xfId="0" applyFont="1" applyFill="1" applyBorder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3" fillId="0" borderId="21" xfId="0" applyFont="1" applyFill="1" applyBorder="1" applyAlignment="1" applyProtection="1">
      <alignment horizontal="left"/>
    </xf>
    <xf numFmtId="0" fontId="13" fillId="0" borderId="104" xfId="0" applyFont="1" applyBorder="1" applyAlignment="1" applyProtection="1">
      <alignment horizontal="left"/>
    </xf>
    <xf numFmtId="0" fontId="3" fillId="0" borderId="121" xfId="0" applyFont="1" applyBorder="1" applyAlignment="1" applyProtection="1">
      <alignment horizontal="left"/>
    </xf>
    <xf numFmtId="0" fontId="3" fillId="0" borderId="122" xfId="0" applyFont="1" applyBorder="1" applyAlignment="1" applyProtection="1">
      <alignment horizontal="left"/>
    </xf>
    <xf numFmtId="0" fontId="3" fillId="0" borderId="123" xfId="0" applyFont="1" applyBorder="1" applyAlignment="1" applyProtection="1">
      <alignment horizontal="left"/>
    </xf>
    <xf numFmtId="0" fontId="3" fillId="0" borderId="23" xfId="0" applyFont="1" applyBorder="1" applyAlignment="1" applyProtection="1">
      <alignment horizontal="left"/>
    </xf>
    <xf numFmtId="0" fontId="3" fillId="0" borderId="124" xfId="0" applyFont="1" applyBorder="1" applyAlignment="1" applyProtection="1">
      <alignment horizontal="center"/>
    </xf>
    <xf numFmtId="0" fontId="8" fillId="4" borderId="124" xfId="0" applyFont="1" applyFill="1" applyBorder="1" applyAlignment="1">
      <alignment horizontal="center"/>
    </xf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3" fillId="0" borderId="104" xfId="0" applyFont="1" applyBorder="1" applyAlignment="1" applyProtection="1">
      <alignment horizontal="center"/>
    </xf>
    <xf numFmtId="0" fontId="8" fillId="4" borderId="121" xfId="0" applyFont="1" applyFill="1" applyBorder="1" applyAlignment="1">
      <alignment horizontal="center"/>
    </xf>
    <xf numFmtId="0" fontId="8" fillId="4" borderId="122" xfId="0" applyFont="1" applyFill="1" applyBorder="1" applyAlignment="1">
      <alignment horizontal="center"/>
    </xf>
    <xf numFmtId="0" fontId="8" fillId="4" borderId="123" xfId="0" applyFont="1" applyFill="1" applyBorder="1" applyAlignment="1">
      <alignment horizontal="center"/>
    </xf>
    <xf numFmtId="0" fontId="6" fillId="4" borderId="104" xfId="0" applyFont="1" applyFill="1" applyBorder="1" applyAlignment="1">
      <alignment horizontal="center"/>
    </xf>
    <xf numFmtId="0" fontId="3" fillId="0" borderId="104" xfId="0" applyFont="1" applyFill="1" applyBorder="1" applyAlignment="1" applyProtection="1">
      <alignment horizontal="left"/>
    </xf>
    <xf numFmtId="0" fontId="3" fillId="0" borderId="121" xfId="0" applyFont="1" applyFill="1" applyBorder="1" applyAlignment="1" applyProtection="1">
      <alignment horizontal="left"/>
    </xf>
    <xf numFmtId="0" fontId="3" fillId="0" borderId="122" xfId="0" applyFont="1" applyFill="1" applyBorder="1" applyAlignment="1" applyProtection="1">
      <alignment horizontal="left"/>
    </xf>
    <xf numFmtId="0" fontId="3" fillId="0" borderId="123" xfId="0" applyFont="1" applyFill="1" applyBorder="1" applyAlignment="1" applyProtection="1">
      <alignment horizontal="left"/>
    </xf>
    <xf numFmtId="0" fontId="3" fillId="0" borderId="17" xfId="0" applyFont="1" applyBorder="1" applyAlignment="1" applyProtection="1">
      <alignment horizontal="left" vertical="center"/>
    </xf>
    <xf numFmtId="0" fontId="3" fillId="0" borderId="18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center"/>
    </xf>
    <xf numFmtId="0" fontId="3" fillId="0" borderId="20" xfId="0" applyFont="1" applyBorder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3" fillId="0" borderId="21" xfId="0" applyFont="1" applyBorder="1" applyAlignment="1" applyProtection="1">
      <alignment horizontal="left" vertical="center"/>
    </xf>
    <xf numFmtId="0" fontId="8" fillId="0" borderId="131" xfId="0" applyFont="1" applyBorder="1" applyAlignment="1">
      <alignment horizontal="center"/>
    </xf>
    <xf numFmtId="0" fontId="8" fillId="0" borderId="132" xfId="0" applyFont="1" applyBorder="1" applyAlignment="1">
      <alignment horizontal="center"/>
    </xf>
    <xf numFmtId="0" fontId="8" fillId="3" borderId="118" xfId="0" applyFont="1" applyFill="1" applyBorder="1" applyAlignment="1">
      <alignment horizontal="center"/>
    </xf>
    <xf numFmtId="0" fontId="8" fillId="3" borderId="104" xfId="0" applyFont="1" applyFill="1" applyBorder="1" applyAlignment="1">
      <alignment horizontal="center"/>
    </xf>
    <xf numFmtId="0" fontId="8" fillId="0" borderId="120" xfId="0" applyFont="1" applyBorder="1" applyAlignment="1">
      <alignment horizontal="center"/>
    </xf>
    <xf numFmtId="0" fontId="8" fillId="3" borderId="133" xfId="0" applyFont="1" applyFill="1" applyBorder="1" applyAlignment="1">
      <alignment horizontal="center"/>
    </xf>
    <xf numFmtId="0" fontId="8" fillId="3" borderId="129" xfId="0" applyFont="1" applyFill="1" applyBorder="1" applyAlignment="1">
      <alignment horizontal="center"/>
    </xf>
    <xf numFmtId="0" fontId="8" fillId="4" borderId="120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1" fillId="0" borderId="29" xfId="0" applyFont="1" applyBorder="1" applyAlignment="1" applyProtection="1">
      <alignment horizontal="center"/>
    </xf>
    <xf numFmtId="0" fontId="1" fillId="0" borderId="30" xfId="0" applyFont="1" applyBorder="1" applyAlignment="1" applyProtection="1">
      <alignment horizontal="center"/>
    </xf>
    <xf numFmtId="0" fontId="8" fillId="3" borderId="130" xfId="0" applyFont="1" applyFill="1" applyBorder="1" applyAlignment="1">
      <alignment horizontal="center"/>
    </xf>
    <xf numFmtId="0" fontId="8" fillId="3" borderId="131" xfId="0" applyFont="1" applyFill="1" applyBorder="1" applyAlignment="1">
      <alignment horizontal="center"/>
    </xf>
    <xf numFmtId="0" fontId="8" fillId="0" borderId="131" xfId="0" applyFont="1" applyBorder="1" applyAlignment="1" applyProtection="1">
      <alignment horizontal="center"/>
    </xf>
    <xf numFmtId="0" fontId="8" fillId="4" borderId="131" xfId="0" applyFont="1" applyFill="1" applyBorder="1" applyAlignment="1">
      <alignment horizontal="center"/>
    </xf>
    <xf numFmtId="164" fontId="8" fillId="0" borderId="131" xfId="0" applyNumberFormat="1" applyFont="1" applyBorder="1" applyAlignment="1" applyProtection="1">
      <alignment horizontal="center"/>
    </xf>
    <xf numFmtId="0" fontId="8" fillId="3" borderId="134" xfId="0" applyFont="1" applyFill="1" applyBorder="1" applyAlignment="1">
      <alignment horizontal="center"/>
    </xf>
    <xf numFmtId="0" fontId="8" fillId="3" borderId="135" xfId="0" applyFont="1" applyFill="1" applyBorder="1" applyAlignment="1">
      <alignment horizontal="center"/>
    </xf>
    <xf numFmtId="0" fontId="15" fillId="0" borderId="124" xfId="0" applyFont="1" applyBorder="1" applyAlignment="1" applyProtection="1">
      <alignment horizontal="center"/>
      <protection locked="0"/>
    </xf>
    <xf numFmtId="0" fontId="15" fillId="0" borderId="136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4A87D1"/>
      <color rgb="FF2A568A"/>
      <color rgb="FFB6DDE8"/>
      <color rgb="FFD9D9D9"/>
      <color rgb="FFDB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83256</xdr:colOff>
      <xdr:row>65</xdr:row>
      <xdr:rowOff>30480</xdr:rowOff>
    </xdr:from>
    <xdr:to>
      <xdr:col>5</xdr:col>
      <xdr:colOff>502920</xdr:colOff>
      <xdr:row>68</xdr:row>
      <xdr:rowOff>167640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DA1416-592F-42B9-AF35-ED25BA0C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316" y="121920"/>
          <a:ext cx="892104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83256</xdr:colOff>
      <xdr:row>132</xdr:row>
      <xdr:rowOff>30480</xdr:rowOff>
    </xdr:from>
    <xdr:to>
      <xdr:col>5</xdr:col>
      <xdr:colOff>502920</xdr:colOff>
      <xdr:row>135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508D37-6A1C-419D-82AF-1F30F21A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316" y="11696700"/>
          <a:ext cx="892104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83256</xdr:colOff>
      <xdr:row>199</xdr:row>
      <xdr:rowOff>30480</xdr:rowOff>
    </xdr:from>
    <xdr:to>
      <xdr:col>5</xdr:col>
      <xdr:colOff>502920</xdr:colOff>
      <xdr:row>202</xdr:row>
      <xdr:rowOff>167640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B16F468-F765-4219-A14D-AA8715384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316" y="35082480"/>
          <a:ext cx="892104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</xdr:colOff>
      <xdr:row>1</xdr:row>
      <xdr:rowOff>30480</xdr:rowOff>
    </xdr:from>
    <xdr:to>
      <xdr:col>5</xdr:col>
      <xdr:colOff>472440</xdr:colOff>
      <xdr:row>4</xdr:row>
      <xdr:rowOff>158293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E5C63E-3B2A-D944-91EE-8836D501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121920"/>
          <a:ext cx="929640" cy="8059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83256</xdr:colOff>
      <xdr:row>65</xdr:row>
      <xdr:rowOff>30480</xdr:rowOff>
    </xdr:from>
    <xdr:to>
      <xdr:col>5</xdr:col>
      <xdr:colOff>502920</xdr:colOff>
      <xdr:row>68</xdr:row>
      <xdr:rowOff>167640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B5ED81-DE0B-4442-8101-759EBF82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316" y="46702980"/>
          <a:ext cx="892104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91440</xdr:colOff>
      <xdr:row>1</xdr:row>
      <xdr:rowOff>30481</xdr:rowOff>
    </xdr:from>
    <xdr:to>
      <xdr:col>5</xdr:col>
      <xdr:colOff>445164</xdr:colOff>
      <xdr:row>4</xdr:row>
      <xdr:rowOff>160021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481F2E-5DF9-4065-8612-BA16F2A5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1921"/>
          <a:ext cx="826164" cy="716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30480</xdr:rowOff>
    </xdr:from>
    <xdr:to>
      <xdr:col>4</xdr:col>
      <xdr:colOff>157675</xdr:colOff>
      <xdr:row>0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30780" y="30480"/>
          <a:ext cx="896815" cy="137160"/>
        </a:xfrm>
        <a:prstGeom prst="rect">
          <a:avLst/>
        </a:prstGeom>
        <a:solidFill>
          <a:srgbClr val="2A5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53340</xdr:colOff>
      <xdr:row>2</xdr:row>
      <xdr:rowOff>22860</xdr:rowOff>
    </xdr:from>
    <xdr:to>
      <xdr:col>4</xdr:col>
      <xdr:colOff>157675</xdr:colOff>
      <xdr:row>2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30780" y="388620"/>
          <a:ext cx="896815" cy="144780"/>
        </a:xfrm>
        <a:prstGeom prst="rect">
          <a:avLst/>
        </a:prstGeom>
        <a:solidFill>
          <a:srgbClr val="4A87D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38100</xdr:colOff>
      <xdr:row>4</xdr:row>
      <xdr:rowOff>30480</xdr:rowOff>
    </xdr:from>
    <xdr:to>
      <xdr:col>4</xdr:col>
      <xdr:colOff>142435</xdr:colOff>
      <xdr:row>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15540" y="762000"/>
          <a:ext cx="896815" cy="137160"/>
        </a:xfrm>
        <a:prstGeom prst="rect">
          <a:avLst/>
        </a:prstGeom>
        <a:solidFill>
          <a:srgbClr val="DBE4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6</xdr:row>
      <xdr:rowOff>30480</xdr:rowOff>
    </xdr:from>
    <xdr:to>
      <xdr:col>4</xdr:col>
      <xdr:colOff>150055</xdr:colOff>
      <xdr:row>6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423160" y="1127760"/>
          <a:ext cx="896815" cy="129540"/>
        </a:xfrm>
        <a:prstGeom prst="rect">
          <a:avLst/>
        </a:prstGeom>
        <a:solidFill>
          <a:srgbClr val="B6DDE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8</xdr:row>
      <xdr:rowOff>30480</xdr:rowOff>
    </xdr:from>
    <xdr:to>
      <xdr:col>4</xdr:col>
      <xdr:colOff>150055</xdr:colOff>
      <xdr:row>8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423160" y="1493520"/>
          <a:ext cx="896815" cy="121920"/>
        </a:xfrm>
        <a:prstGeom prst="rect">
          <a:avLst/>
        </a:prstGeom>
        <a:solidFill>
          <a:srgbClr val="D9D9D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unicab.org/pagos_payservices.php" TargetMode="External"/><Relationship Id="rId1" Type="http://schemas.openxmlformats.org/officeDocument/2006/relationships/hyperlink" Target="mailto:cartera@unicab.or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4E8D-0FA6-4AD8-96A6-991103FEFDE9}">
  <dimension ref="A1:V331"/>
  <sheetViews>
    <sheetView showGridLines="0" tabSelected="1" workbookViewId="0">
      <selection activeCell="B7" sqref="B7:D16"/>
    </sheetView>
  </sheetViews>
  <sheetFormatPr baseColWidth="10" defaultRowHeight="13.8" x14ac:dyDescent="0.25"/>
  <cols>
    <col min="1" max="1" width="1.77734375" style="1" customWidth="1"/>
    <col min="2" max="2" width="12.88671875" style="1" bestFit="1" customWidth="1"/>
    <col min="3" max="5" width="3.44140625" style="1" customWidth="1"/>
    <col min="6" max="7" width="11.5546875" style="1"/>
    <col min="8" max="8" width="5.6640625" style="1" customWidth="1"/>
    <col min="9" max="9" width="4.109375" style="1" customWidth="1"/>
    <col min="10" max="10" width="11.5546875" style="1"/>
    <col min="11" max="11" width="3.21875" style="1" customWidth="1"/>
    <col min="12" max="12" width="4.109375" style="1" customWidth="1"/>
    <col min="13" max="13" width="5.44140625" style="1" customWidth="1"/>
    <col min="14" max="14" width="4.109375" style="1" customWidth="1"/>
    <col min="15" max="15" width="7.21875" style="1" customWidth="1"/>
    <col min="16" max="16" width="2.77734375" style="1" customWidth="1"/>
    <col min="17" max="17" width="4.109375" style="1" customWidth="1"/>
    <col min="18" max="20" width="5.21875" style="1" customWidth="1"/>
    <col min="21" max="21" width="4.109375" style="1" customWidth="1"/>
    <col min="22" max="22" width="1.77734375" style="1" customWidth="1"/>
    <col min="23" max="16384" width="11.5546875" style="1"/>
  </cols>
  <sheetData>
    <row r="1" spans="1:22" ht="7.2" customHeight="1" thickTop="1" x14ac:dyDescent="0.25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</row>
    <row r="2" spans="1:22" ht="27" customHeight="1" x14ac:dyDescent="0.25">
      <c r="A2" s="37"/>
      <c r="C2" s="3"/>
      <c r="D2" s="4"/>
      <c r="E2" s="4"/>
      <c r="F2" s="5"/>
      <c r="G2" s="141" t="s">
        <v>30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8"/>
    </row>
    <row r="3" spans="1:22" ht="23.4" customHeight="1" x14ac:dyDescent="0.25">
      <c r="A3" s="37"/>
      <c r="C3" s="6"/>
      <c r="F3" s="7"/>
      <c r="G3" s="271" t="s">
        <v>31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8"/>
    </row>
    <row r="4" spans="1:22" ht="3" customHeight="1" x14ac:dyDescent="0.25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2" ht="14.4" x14ac:dyDescent="0.3">
      <c r="A5" s="37"/>
      <c r="C5" s="8"/>
      <c r="D5" s="9"/>
      <c r="E5" s="9"/>
      <c r="F5" s="10"/>
      <c r="G5" s="144" t="s">
        <v>32</v>
      </c>
      <c r="H5" s="145"/>
      <c r="I5" s="146"/>
      <c r="J5" s="144" t="s">
        <v>33</v>
      </c>
      <c r="K5" s="145"/>
      <c r="L5" s="146"/>
      <c r="M5" s="144" t="s">
        <v>34</v>
      </c>
      <c r="N5" s="145"/>
      <c r="O5" s="145"/>
      <c r="P5" s="146"/>
      <c r="Q5" s="144" t="s">
        <v>302</v>
      </c>
      <c r="R5" s="145"/>
      <c r="S5" s="146"/>
      <c r="V5" s="38"/>
    </row>
    <row r="6" spans="1:22" ht="14.4" thickBot="1" x14ac:dyDescent="0.3">
      <c r="A6" s="37"/>
      <c r="V6" s="38"/>
    </row>
    <row r="7" spans="1:22" ht="15" thickTop="1" x14ac:dyDescent="0.3">
      <c r="A7" s="37"/>
      <c r="B7" s="231" t="s">
        <v>92</v>
      </c>
      <c r="C7" s="232"/>
      <c r="D7" s="233"/>
      <c r="F7" s="247" t="s">
        <v>35</v>
      </c>
      <c r="G7" s="247"/>
      <c r="H7" s="247"/>
      <c r="I7" s="247"/>
      <c r="J7" s="247"/>
      <c r="K7" s="247"/>
      <c r="L7" s="247"/>
      <c r="M7" s="247"/>
      <c r="N7" s="247"/>
      <c r="O7" s="247"/>
      <c r="P7" s="247"/>
      <c r="R7" s="240" t="s">
        <v>39</v>
      </c>
      <c r="S7" s="241"/>
      <c r="T7" s="241"/>
      <c r="U7" s="242"/>
      <c r="V7" s="38"/>
    </row>
    <row r="8" spans="1:22" ht="14.4" x14ac:dyDescent="0.3">
      <c r="A8" s="37"/>
      <c r="B8" s="234"/>
      <c r="C8" s="235"/>
      <c r="D8" s="236"/>
      <c r="F8" s="248" t="s">
        <v>36</v>
      </c>
      <c r="G8" s="248"/>
      <c r="H8" s="248"/>
      <c r="I8" s="248"/>
      <c r="J8" s="248"/>
      <c r="K8" s="248"/>
      <c r="L8" s="248"/>
      <c r="M8" s="248"/>
      <c r="N8" s="248"/>
      <c r="O8" s="248"/>
      <c r="P8" s="248"/>
      <c r="R8" s="54" t="s">
        <v>40</v>
      </c>
      <c r="S8" s="55" t="s">
        <v>41</v>
      </c>
      <c r="T8" s="243" t="s">
        <v>42</v>
      </c>
      <c r="U8" s="244"/>
      <c r="V8" s="38"/>
    </row>
    <row r="9" spans="1:22" ht="15" thickBot="1" x14ac:dyDescent="0.35">
      <c r="A9" s="37"/>
      <c r="B9" s="234"/>
      <c r="C9" s="235"/>
      <c r="D9" s="236"/>
      <c r="F9" s="248" t="s">
        <v>37</v>
      </c>
      <c r="G9" s="248"/>
      <c r="H9" s="248"/>
      <c r="I9" s="248"/>
      <c r="J9" s="248"/>
      <c r="K9" s="248"/>
      <c r="L9" s="248"/>
      <c r="M9" s="248"/>
      <c r="N9" s="248"/>
      <c r="O9" s="248"/>
      <c r="P9" s="248"/>
      <c r="R9" s="66"/>
      <c r="S9" s="67"/>
      <c r="T9" s="245"/>
      <c r="U9" s="246"/>
      <c r="V9" s="38"/>
    </row>
    <row r="10" spans="1:22" ht="15" thickTop="1" x14ac:dyDescent="0.3">
      <c r="A10" s="37"/>
      <c r="B10" s="234"/>
      <c r="C10" s="235"/>
      <c r="D10" s="236"/>
      <c r="F10" s="248" t="s">
        <v>38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V10" s="38"/>
    </row>
    <row r="11" spans="1:22" ht="6" customHeight="1" thickBot="1" x14ac:dyDescent="0.3">
      <c r="A11" s="37"/>
      <c r="B11" s="234"/>
      <c r="C11" s="235"/>
      <c r="D11" s="236"/>
      <c r="V11" s="38"/>
    </row>
    <row r="12" spans="1:22" ht="15.6" thickTop="1" thickBot="1" x14ac:dyDescent="0.35">
      <c r="A12" s="37"/>
      <c r="B12" s="234"/>
      <c r="C12" s="235"/>
      <c r="D12" s="236"/>
      <c r="F12" s="249" t="s">
        <v>48</v>
      </c>
      <c r="G12" s="161"/>
      <c r="H12" s="299"/>
      <c r="I12" s="300"/>
      <c r="J12" s="300"/>
      <c r="K12" s="301"/>
      <c r="L12" s="159" t="s">
        <v>49</v>
      </c>
      <c r="M12" s="160"/>
      <c r="N12" s="161"/>
      <c r="O12" s="299"/>
      <c r="P12" s="300"/>
      <c r="Q12" s="300"/>
      <c r="R12" s="300"/>
      <c r="S12" s="300"/>
      <c r="T12" s="300"/>
      <c r="U12" s="302"/>
      <c r="V12" s="38"/>
    </row>
    <row r="13" spans="1:22" ht="15" thickBot="1" x14ac:dyDescent="0.35">
      <c r="A13" s="37"/>
      <c r="B13" s="234"/>
      <c r="C13" s="235"/>
      <c r="D13" s="236"/>
      <c r="F13" s="15" t="s">
        <v>50</v>
      </c>
      <c r="G13" s="172" t="s">
        <v>52</v>
      </c>
      <c r="H13" s="175"/>
      <c r="I13" s="72"/>
      <c r="J13" s="179" t="s">
        <v>53</v>
      </c>
      <c r="K13" s="175"/>
      <c r="L13" s="72"/>
      <c r="M13" s="172" t="s">
        <v>54</v>
      </c>
      <c r="N13" s="173"/>
      <c r="O13" s="174"/>
      <c r="P13" s="175"/>
      <c r="Q13" s="72"/>
      <c r="R13" s="179" t="s">
        <v>55</v>
      </c>
      <c r="S13" s="174"/>
      <c r="T13" s="175"/>
      <c r="U13" s="75"/>
      <c r="V13" s="38"/>
    </row>
    <row r="14" spans="1:22" ht="15" thickBot="1" x14ac:dyDescent="0.35">
      <c r="A14" s="37"/>
      <c r="B14" s="234"/>
      <c r="C14" s="235"/>
      <c r="D14" s="236"/>
      <c r="F14" s="16" t="s">
        <v>51</v>
      </c>
      <c r="G14" s="180" t="s">
        <v>56</v>
      </c>
      <c r="H14" s="181"/>
      <c r="I14" s="182"/>
      <c r="J14" s="178" t="s">
        <v>57</v>
      </c>
      <c r="K14" s="176"/>
      <c r="L14" s="73"/>
      <c r="M14" s="172" t="s">
        <v>58</v>
      </c>
      <c r="N14" s="173"/>
      <c r="O14" s="173"/>
      <c r="P14" s="176"/>
      <c r="Q14" s="74"/>
      <c r="R14" s="177" t="s">
        <v>59</v>
      </c>
      <c r="S14" s="178"/>
      <c r="T14" s="176"/>
      <c r="U14" s="76"/>
      <c r="V14" s="38"/>
    </row>
    <row r="15" spans="1:22" ht="15" thickBot="1" x14ac:dyDescent="0.35">
      <c r="A15" s="37"/>
      <c r="B15" s="234"/>
      <c r="C15" s="235"/>
      <c r="D15" s="236"/>
      <c r="F15" s="267" t="s">
        <v>60</v>
      </c>
      <c r="G15" s="268"/>
      <c r="H15" s="303"/>
      <c r="I15" s="304"/>
      <c r="J15" s="304"/>
      <c r="K15" s="304"/>
      <c r="L15" s="305"/>
      <c r="M15" s="269" t="s">
        <v>61</v>
      </c>
      <c r="N15" s="270"/>
      <c r="O15" s="268"/>
      <c r="P15" s="183"/>
      <c r="Q15" s="184"/>
      <c r="R15" s="184"/>
      <c r="S15" s="184"/>
      <c r="T15" s="184"/>
      <c r="U15" s="185"/>
      <c r="V15" s="39"/>
    </row>
    <row r="16" spans="1:22" ht="15" thickBot="1" x14ac:dyDescent="0.35">
      <c r="A16" s="37"/>
      <c r="B16" s="237"/>
      <c r="C16" s="238"/>
      <c r="D16" s="239"/>
      <c r="F16" s="17" t="s">
        <v>62</v>
      </c>
      <c r="G16" s="12" t="s">
        <v>63</v>
      </c>
      <c r="H16" s="170" t="s">
        <v>64</v>
      </c>
      <c r="I16" s="170"/>
      <c r="J16" s="170" t="s">
        <v>65</v>
      </c>
      <c r="K16" s="170"/>
      <c r="L16" s="162"/>
      <c r="M16" s="156"/>
      <c r="N16" s="156"/>
      <c r="O16" s="156"/>
      <c r="P16" s="156"/>
      <c r="Q16" s="163"/>
      <c r="R16" s="170" t="s">
        <v>66</v>
      </c>
      <c r="S16" s="170"/>
      <c r="T16" s="170"/>
      <c r="U16" s="171"/>
      <c r="V16" s="39"/>
    </row>
    <row r="17" spans="1:22" ht="15.6" thickTop="1" thickBot="1" x14ac:dyDescent="0.35">
      <c r="A17" s="37"/>
      <c r="F17" s="18" t="s">
        <v>51</v>
      </c>
      <c r="G17" s="71"/>
      <c r="H17" s="229"/>
      <c r="I17" s="230"/>
      <c r="J17" s="229"/>
      <c r="K17" s="230"/>
      <c r="L17" s="306"/>
      <c r="M17" s="307"/>
      <c r="N17" s="88"/>
      <c r="O17" s="308"/>
      <c r="P17" s="308"/>
      <c r="Q17" s="89"/>
      <c r="R17" s="309"/>
      <c r="S17" s="310"/>
      <c r="T17" s="310"/>
      <c r="U17" s="311"/>
      <c r="V17" s="39"/>
    </row>
    <row r="18" spans="1:22" ht="15" thickTop="1" thickBot="1" x14ac:dyDescent="0.3">
      <c r="A18" s="37"/>
      <c r="V18" s="38"/>
    </row>
    <row r="19" spans="1:22" ht="15" thickTop="1" x14ac:dyDescent="0.3">
      <c r="A19" s="37"/>
      <c r="B19" s="27" t="s">
        <v>1</v>
      </c>
      <c r="C19" s="164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6"/>
      <c r="V19" s="38"/>
    </row>
    <row r="20" spans="1:22" ht="15" thickBot="1" x14ac:dyDescent="0.35">
      <c r="A20" s="37"/>
      <c r="B20" s="28" t="s">
        <v>0</v>
      </c>
      <c r="C20" s="167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9"/>
      <c r="V20" s="38"/>
    </row>
    <row r="21" spans="1:22" ht="15.6" thickTop="1" thickBot="1" x14ac:dyDescent="0.35">
      <c r="A21" s="37"/>
      <c r="B21" s="14" t="s">
        <v>2</v>
      </c>
      <c r="C21" s="22" t="s">
        <v>3</v>
      </c>
      <c r="D21" s="21" t="s">
        <v>4</v>
      </c>
      <c r="E21" s="21" t="s">
        <v>5</v>
      </c>
      <c r="F21" s="170" t="s">
        <v>9</v>
      </c>
      <c r="G21" s="170"/>
      <c r="H21" s="170"/>
      <c r="I21" s="170" t="s">
        <v>6</v>
      </c>
      <c r="J21" s="170"/>
      <c r="K21" s="170"/>
      <c r="L21" s="170"/>
      <c r="M21" s="170"/>
      <c r="N21" s="170"/>
      <c r="O21" s="13" t="s">
        <v>40</v>
      </c>
      <c r="P21" s="170" t="s">
        <v>41</v>
      </c>
      <c r="Q21" s="170"/>
      <c r="R21" s="170" t="s">
        <v>42</v>
      </c>
      <c r="S21" s="170"/>
      <c r="T21" s="170" t="s">
        <v>7</v>
      </c>
      <c r="U21" s="171"/>
      <c r="V21" s="38"/>
    </row>
    <row r="22" spans="1:22" ht="15" thickBot="1" x14ac:dyDescent="0.35">
      <c r="A22" s="37"/>
      <c r="B22" s="29" t="s">
        <v>8</v>
      </c>
      <c r="C22" s="72"/>
      <c r="D22" s="72"/>
      <c r="E22" s="72"/>
      <c r="F22" s="191"/>
      <c r="G22" s="192"/>
      <c r="H22" s="193"/>
      <c r="I22" s="194"/>
      <c r="J22" s="195"/>
      <c r="K22" s="195"/>
      <c r="L22" s="195"/>
      <c r="M22" s="195"/>
      <c r="N22" s="196"/>
      <c r="O22" s="78"/>
      <c r="P22" s="189"/>
      <c r="Q22" s="197"/>
      <c r="R22" s="189"/>
      <c r="S22" s="197"/>
      <c r="T22" s="189"/>
      <c r="U22" s="190"/>
      <c r="V22" s="38"/>
    </row>
    <row r="23" spans="1:22" ht="15" thickBot="1" x14ac:dyDescent="0.35">
      <c r="A23" s="37"/>
      <c r="B23" s="25" t="s">
        <v>10</v>
      </c>
      <c r="C23" s="194"/>
      <c r="D23" s="195"/>
      <c r="E23" s="195"/>
      <c r="F23" s="195"/>
      <c r="G23" s="195"/>
      <c r="H23" s="195"/>
      <c r="I23" s="195"/>
      <c r="J23" s="196"/>
      <c r="K23" s="206" t="s">
        <v>11</v>
      </c>
      <c r="L23" s="207"/>
      <c r="M23" s="207"/>
      <c r="N23" s="208"/>
      <c r="O23" s="194"/>
      <c r="P23" s="195"/>
      <c r="Q23" s="195"/>
      <c r="R23" s="195"/>
      <c r="S23" s="195"/>
      <c r="T23" s="195"/>
      <c r="U23" s="205"/>
      <c r="V23" s="38"/>
    </row>
    <row r="24" spans="1:22" ht="14.4" x14ac:dyDescent="0.3">
      <c r="A24" s="37"/>
      <c r="B24" s="30" t="s">
        <v>12</v>
      </c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9"/>
      <c r="O24" s="153" t="s">
        <v>14</v>
      </c>
      <c r="P24" s="154"/>
      <c r="Q24" s="154"/>
      <c r="R24" s="147"/>
      <c r="S24" s="148"/>
      <c r="T24" s="148"/>
      <c r="U24" s="157"/>
      <c r="V24" s="38"/>
    </row>
    <row r="25" spans="1:22" ht="15" thickBot="1" x14ac:dyDescent="0.35">
      <c r="A25" s="37"/>
      <c r="B25" s="29" t="s">
        <v>13</v>
      </c>
      <c r="C25" s="150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2"/>
      <c r="O25" s="155" t="s">
        <v>15</v>
      </c>
      <c r="P25" s="156"/>
      <c r="Q25" s="156"/>
      <c r="R25" s="150"/>
      <c r="S25" s="151"/>
      <c r="T25" s="151"/>
      <c r="U25" s="158"/>
      <c r="V25" s="38"/>
    </row>
    <row r="26" spans="1:22" ht="15" thickBot="1" x14ac:dyDescent="0.35">
      <c r="A26" s="37"/>
      <c r="B26" s="25" t="s">
        <v>16</v>
      </c>
      <c r="C26" s="194"/>
      <c r="D26" s="195"/>
      <c r="E26" s="195"/>
      <c r="F26" s="195"/>
      <c r="G26" s="195"/>
      <c r="H26" s="195"/>
      <c r="I26" s="196"/>
      <c r="J26" s="11" t="s">
        <v>17</v>
      </c>
      <c r="K26" s="226"/>
      <c r="L26" s="227"/>
      <c r="M26" s="329"/>
      <c r="N26" s="330"/>
      <c r="O26" s="153" t="s">
        <v>18</v>
      </c>
      <c r="P26" s="154"/>
      <c r="Q26" s="154"/>
      <c r="R26" s="186"/>
      <c r="S26" s="187"/>
      <c r="T26" s="187"/>
      <c r="U26" s="188"/>
      <c r="V26" s="38"/>
    </row>
    <row r="27" spans="1:22" ht="15" thickBot="1" x14ac:dyDescent="0.35">
      <c r="A27" s="37"/>
      <c r="B27" s="25" t="s">
        <v>19</v>
      </c>
      <c r="C27" s="287"/>
      <c r="D27" s="288"/>
      <c r="E27" s="288"/>
      <c r="F27" s="288"/>
      <c r="G27" s="288"/>
      <c r="H27" s="288"/>
      <c r="I27" s="288"/>
      <c r="J27" s="289"/>
      <c r="K27" s="163" t="s">
        <v>20</v>
      </c>
      <c r="L27" s="162"/>
      <c r="M27" s="287"/>
      <c r="N27" s="288"/>
      <c r="O27" s="288"/>
      <c r="P27" s="288"/>
      <c r="Q27" s="288"/>
      <c r="R27" s="288"/>
      <c r="S27" s="288"/>
      <c r="T27" s="288"/>
      <c r="U27" s="290"/>
      <c r="V27" s="38"/>
    </row>
    <row r="28" spans="1:22" ht="14.4" customHeight="1" x14ac:dyDescent="0.25">
      <c r="A28" s="37"/>
      <c r="B28" s="31" t="s">
        <v>45</v>
      </c>
      <c r="C28" s="312"/>
      <c r="D28" s="313"/>
      <c r="E28" s="313"/>
      <c r="F28" s="313"/>
      <c r="G28" s="313"/>
      <c r="H28" s="313"/>
      <c r="I28" s="313"/>
      <c r="J28" s="314"/>
      <c r="K28" s="322" t="s">
        <v>93</v>
      </c>
      <c r="L28" s="323"/>
      <c r="M28" s="324"/>
      <c r="N28" s="312"/>
      <c r="O28" s="313"/>
      <c r="P28" s="313"/>
      <c r="Q28" s="313"/>
      <c r="R28" s="313"/>
      <c r="S28" s="313"/>
      <c r="T28" s="313"/>
      <c r="U28" s="320"/>
      <c r="V28" s="38"/>
    </row>
    <row r="29" spans="1:22" ht="14.4" customHeight="1" x14ac:dyDescent="0.25">
      <c r="A29" s="37"/>
      <c r="B29" s="32" t="s">
        <v>46</v>
      </c>
      <c r="C29" s="315"/>
      <c r="D29" s="316"/>
      <c r="E29" s="316"/>
      <c r="F29" s="316"/>
      <c r="G29" s="316"/>
      <c r="H29" s="316"/>
      <c r="I29" s="316"/>
      <c r="J29" s="317"/>
      <c r="K29" s="325"/>
      <c r="L29" s="323"/>
      <c r="M29" s="324"/>
      <c r="N29" s="315"/>
      <c r="O29" s="316"/>
      <c r="P29" s="316"/>
      <c r="Q29" s="316"/>
      <c r="R29" s="316"/>
      <c r="S29" s="316"/>
      <c r="T29" s="316"/>
      <c r="U29" s="321"/>
      <c r="V29" s="38"/>
    </row>
    <row r="30" spans="1:22" ht="14.4" customHeight="1" thickBot="1" x14ac:dyDescent="0.3">
      <c r="A30" s="37"/>
      <c r="B30" s="33" t="s">
        <v>47</v>
      </c>
      <c r="C30" s="318"/>
      <c r="D30" s="203"/>
      <c r="E30" s="203"/>
      <c r="F30" s="203"/>
      <c r="G30" s="203"/>
      <c r="H30" s="203"/>
      <c r="I30" s="203"/>
      <c r="J30" s="319"/>
      <c r="K30" s="326"/>
      <c r="L30" s="327"/>
      <c r="M30" s="328"/>
      <c r="N30" s="318"/>
      <c r="O30" s="203"/>
      <c r="P30" s="203"/>
      <c r="Q30" s="203"/>
      <c r="R30" s="203"/>
      <c r="S30" s="203"/>
      <c r="T30" s="203"/>
      <c r="U30" s="204"/>
      <c r="V30" s="38"/>
    </row>
    <row r="31" spans="1:22" ht="15" customHeight="1" thickBot="1" x14ac:dyDescent="0.3">
      <c r="A31" s="37"/>
      <c r="B31" s="209" t="s">
        <v>21</v>
      </c>
      <c r="C31" s="222" t="s">
        <v>22</v>
      </c>
      <c r="D31" s="223"/>
      <c r="E31" s="223"/>
      <c r="F31" s="19" t="s">
        <v>23</v>
      </c>
      <c r="G31" s="19" t="s">
        <v>24</v>
      </c>
      <c r="H31" s="223" t="s">
        <v>25</v>
      </c>
      <c r="I31" s="223"/>
      <c r="J31" s="19" t="s">
        <v>26</v>
      </c>
      <c r="K31" s="291" t="s">
        <v>27</v>
      </c>
      <c r="L31" s="291"/>
      <c r="M31" s="20" t="s">
        <v>28</v>
      </c>
      <c r="N31" s="223" t="s">
        <v>29</v>
      </c>
      <c r="O31" s="223"/>
      <c r="P31" s="223"/>
      <c r="Q31" s="223"/>
      <c r="R31" s="223"/>
      <c r="S31" s="223"/>
      <c r="T31" s="223"/>
      <c r="U31" s="292"/>
      <c r="V31" s="38"/>
    </row>
    <row r="32" spans="1:22" s="2" customFormat="1" ht="14.4" thickBot="1" x14ac:dyDescent="0.35">
      <c r="A32" s="40"/>
      <c r="B32" s="210"/>
      <c r="C32" s="293"/>
      <c r="D32" s="294"/>
      <c r="E32" s="295"/>
      <c r="F32" s="77"/>
      <c r="G32" s="77"/>
      <c r="H32" s="293"/>
      <c r="I32" s="295"/>
      <c r="J32" s="77"/>
      <c r="K32" s="293"/>
      <c r="L32" s="295"/>
      <c r="M32" s="77"/>
      <c r="N32" s="296"/>
      <c r="O32" s="297"/>
      <c r="P32" s="297"/>
      <c r="Q32" s="297"/>
      <c r="R32" s="297"/>
      <c r="S32" s="297"/>
      <c r="T32" s="297"/>
      <c r="U32" s="298"/>
      <c r="V32" s="39"/>
    </row>
    <row r="33" spans="1:22" s="2" customFormat="1" ht="10.199999999999999" customHeight="1" thickTop="1" thickBot="1" x14ac:dyDescent="0.35">
      <c r="A33" s="40"/>
      <c r="V33" s="39"/>
    </row>
    <row r="34" spans="1:22" s="2" customFormat="1" ht="14.4" customHeight="1" thickTop="1" x14ac:dyDescent="0.3">
      <c r="A34" s="40"/>
      <c r="B34" s="27" t="s">
        <v>1</v>
      </c>
      <c r="C34" s="216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39"/>
    </row>
    <row r="35" spans="1:22" s="2" customFormat="1" ht="15" customHeight="1" thickBot="1" x14ac:dyDescent="0.35">
      <c r="A35" s="40"/>
      <c r="B35" s="28" t="s">
        <v>194</v>
      </c>
      <c r="C35" s="219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1"/>
      <c r="V35" s="39"/>
    </row>
    <row r="36" spans="1:22" s="2" customFormat="1" ht="15" customHeight="1" thickTop="1" thickBot="1" x14ac:dyDescent="0.35">
      <c r="A36" s="40"/>
      <c r="B36" s="24" t="s">
        <v>2</v>
      </c>
      <c r="C36" s="191"/>
      <c r="D36" s="192"/>
      <c r="E36" s="192"/>
      <c r="F36" s="192"/>
      <c r="G36" s="192"/>
      <c r="H36" s="193"/>
      <c r="I36" s="154" t="s">
        <v>68</v>
      </c>
      <c r="J36" s="154"/>
      <c r="K36" s="154"/>
      <c r="L36" s="154"/>
      <c r="M36" s="154"/>
      <c r="N36" s="154"/>
      <c r="O36" s="154"/>
      <c r="P36" s="213"/>
      <c r="Q36" s="214" t="s">
        <v>19</v>
      </c>
      <c r="R36" s="214"/>
      <c r="S36" s="214"/>
      <c r="T36" s="214"/>
      <c r="U36" s="215"/>
      <c r="V36" s="39"/>
    </row>
    <row r="37" spans="1:22" s="2" customFormat="1" ht="15" customHeight="1" thickBot="1" x14ac:dyDescent="0.35">
      <c r="A37" s="40"/>
      <c r="B37" s="16" t="s">
        <v>8</v>
      </c>
      <c r="C37" s="211" t="s">
        <v>67</v>
      </c>
      <c r="D37" s="211"/>
      <c r="E37" s="212"/>
      <c r="F37" s="194"/>
      <c r="G37" s="195"/>
      <c r="H37" s="196"/>
      <c r="I37" s="194"/>
      <c r="J37" s="195"/>
      <c r="K37" s="195"/>
      <c r="L37" s="195"/>
      <c r="M37" s="195"/>
      <c r="N37" s="195"/>
      <c r="O37" s="195"/>
      <c r="P37" s="196"/>
      <c r="Q37" s="194"/>
      <c r="R37" s="195"/>
      <c r="S37" s="195"/>
      <c r="T37" s="195"/>
      <c r="U37" s="205"/>
      <c r="V37" s="39"/>
    </row>
    <row r="38" spans="1:22" s="2" customFormat="1" ht="15" customHeight="1" thickBot="1" x14ac:dyDescent="0.35">
      <c r="A38" s="40"/>
      <c r="B38" s="25" t="s">
        <v>69</v>
      </c>
      <c r="C38" s="194"/>
      <c r="D38" s="195"/>
      <c r="E38" s="195"/>
      <c r="F38" s="195"/>
      <c r="G38" s="195"/>
      <c r="H38" s="195"/>
      <c r="I38" s="196"/>
      <c r="J38" s="11" t="s">
        <v>70</v>
      </c>
      <c r="K38" s="194"/>
      <c r="L38" s="195"/>
      <c r="M38" s="195"/>
      <c r="N38" s="195"/>
      <c r="O38" s="195"/>
      <c r="P38" s="195"/>
      <c r="Q38" s="195"/>
      <c r="R38" s="195"/>
      <c r="S38" s="195"/>
      <c r="T38" s="195"/>
      <c r="U38" s="205"/>
      <c r="V38" s="39"/>
    </row>
    <row r="39" spans="1:22" s="2" customFormat="1" ht="15" customHeight="1" thickBot="1" x14ac:dyDescent="0.35">
      <c r="A39" s="40"/>
      <c r="B39" s="18" t="s">
        <v>71</v>
      </c>
      <c r="C39" s="279"/>
      <c r="D39" s="277"/>
      <c r="E39" s="277"/>
      <c r="F39" s="277"/>
      <c r="G39" s="277"/>
      <c r="H39" s="277"/>
      <c r="I39" s="278"/>
      <c r="J39" s="23" t="s">
        <v>20</v>
      </c>
      <c r="K39" s="279"/>
      <c r="L39" s="277"/>
      <c r="M39" s="277"/>
      <c r="N39" s="277"/>
      <c r="O39" s="277"/>
      <c r="P39" s="277"/>
      <c r="Q39" s="277"/>
      <c r="R39" s="277"/>
      <c r="S39" s="277"/>
      <c r="T39" s="277"/>
      <c r="U39" s="280"/>
      <c r="V39" s="39"/>
    </row>
    <row r="40" spans="1:22" s="2" customFormat="1" ht="10.199999999999999" customHeight="1" thickTop="1" thickBot="1" x14ac:dyDescent="0.35">
      <c r="A40" s="40"/>
      <c r="V40" s="39"/>
    </row>
    <row r="41" spans="1:22" s="2" customFormat="1" ht="14.4" customHeight="1" thickTop="1" x14ac:dyDescent="0.3">
      <c r="A41" s="40"/>
      <c r="B41" s="27" t="s">
        <v>1</v>
      </c>
      <c r="C41" s="199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1"/>
      <c r="V41" s="39"/>
    </row>
    <row r="42" spans="1:22" s="2" customFormat="1" ht="15" customHeight="1" thickBot="1" x14ac:dyDescent="0.35">
      <c r="A42" s="40"/>
      <c r="B42" s="28" t="s">
        <v>72</v>
      </c>
      <c r="C42" s="202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4"/>
      <c r="V42" s="39"/>
    </row>
    <row r="43" spans="1:22" s="2" customFormat="1" ht="15" customHeight="1" thickTop="1" thickBot="1" x14ac:dyDescent="0.35">
      <c r="A43" s="40"/>
      <c r="B43" s="24" t="s">
        <v>2</v>
      </c>
      <c r="C43" s="226"/>
      <c r="D43" s="227"/>
      <c r="E43" s="227"/>
      <c r="F43" s="227"/>
      <c r="G43" s="227"/>
      <c r="H43" s="228"/>
      <c r="I43" s="154" t="s">
        <v>68</v>
      </c>
      <c r="J43" s="154"/>
      <c r="K43" s="154"/>
      <c r="L43" s="154"/>
      <c r="M43" s="154"/>
      <c r="N43" s="154"/>
      <c r="O43" s="154"/>
      <c r="P43" s="213"/>
      <c r="Q43" s="250" t="s">
        <v>19</v>
      </c>
      <c r="R43" s="214"/>
      <c r="S43" s="214"/>
      <c r="T43" s="214"/>
      <c r="U43" s="215"/>
      <c r="V43" s="39"/>
    </row>
    <row r="44" spans="1:22" s="2" customFormat="1" ht="15" customHeight="1" thickBot="1" x14ac:dyDescent="0.35">
      <c r="A44" s="40"/>
      <c r="B44" s="16" t="s">
        <v>8</v>
      </c>
      <c r="C44" s="211" t="s">
        <v>67</v>
      </c>
      <c r="D44" s="211"/>
      <c r="E44" s="212"/>
      <c r="F44" s="194"/>
      <c r="G44" s="195"/>
      <c r="H44" s="196"/>
      <c r="I44" s="194"/>
      <c r="J44" s="195"/>
      <c r="K44" s="195"/>
      <c r="L44" s="195"/>
      <c r="M44" s="195"/>
      <c r="N44" s="195"/>
      <c r="O44" s="195"/>
      <c r="P44" s="196"/>
      <c r="Q44" s="194"/>
      <c r="R44" s="195"/>
      <c r="S44" s="195"/>
      <c r="T44" s="195"/>
      <c r="U44" s="205"/>
      <c r="V44" s="39"/>
    </row>
    <row r="45" spans="1:22" s="2" customFormat="1" ht="15" customHeight="1" thickBot="1" x14ac:dyDescent="0.35">
      <c r="A45" s="40"/>
      <c r="B45" s="17" t="s">
        <v>69</v>
      </c>
      <c r="C45" s="195"/>
      <c r="D45" s="195"/>
      <c r="E45" s="195"/>
      <c r="F45" s="195"/>
      <c r="G45" s="195"/>
      <c r="H45" s="195"/>
      <c r="I45" s="196"/>
      <c r="J45" s="11" t="s">
        <v>70</v>
      </c>
      <c r="K45" s="194"/>
      <c r="L45" s="195"/>
      <c r="M45" s="195"/>
      <c r="N45" s="195"/>
      <c r="O45" s="195"/>
      <c r="P45" s="195"/>
      <c r="Q45" s="195"/>
      <c r="R45" s="195"/>
      <c r="S45" s="195"/>
      <c r="T45" s="195"/>
      <c r="U45" s="205"/>
      <c r="V45" s="39"/>
    </row>
    <row r="46" spans="1:22" s="2" customFormat="1" ht="15" customHeight="1" thickBot="1" x14ac:dyDescent="0.35">
      <c r="A46" s="40"/>
      <c r="B46" s="26" t="s">
        <v>71</v>
      </c>
      <c r="C46" s="277"/>
      <c r="D46" s="277"/>
      <c r="E46" s="277"/>
      <c r="F46" s="277"/>
      <c r="G46" s="277"/>
      <c r="H46" s="277"/>
      <c r="I46" s="278"/>
      <c r="J46" s="23" t="s">
        <v>20</v>
      </c>
      <c r="K46" s="279"/>
      <c r="L46" s="277"/>
      <c r="M46" s="277"/>
      <c r="N46" s="277"/>
      <c r="O46" s="277"/>
      <c r="P46" s="277"/>
      <c r="Q46" s="277"/>
      <c r="R46" s="277"/>
      <c r="S46" s="277"/>
      <c r="T46" s="277"/>
      <c r="U46" s="280"/>
      <c r="V46" s="39"/>
    </row>
    <row r="47" spans="1:22" s="2" customFormat="1" ht="7.2" customHeight="1" thickTop="1" thickBot="1" x14ac:dyDescent="0.35">
      <c r="A47" s="40"/>
      <c r="V47" s="39"/>
    </row>
    <row r="48" spans="1:22" s="2" customFormat="1" ht="14.4" customHeight="1" thickTop="1" x14ac:dyDescent="0.3">
      <c r="A48" s="40"/>
      <c r="B48" s="27" t="s">
        <v>73</v>
      </c>
      <c r="C48" s="199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1"/>
      <c r="V48" s="39"/>
    </row>
    <row r="49" spans="1:22" s="2" customFormat="1" ht="15" customHeight="1" thickBot="1" x14ac:dyDescent="0.35">
      <c r="A49" s="40"/>
      <c r="B49" s="28" t="s">
        <v>74</v>
      </c>
      <c r="C49" s="202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4"/>
      <c r="V49" s="39"/>
    </row>
    <row r="50" spans="1:22" s="2" customFormat="1" ht="15" customHeight="1" thickTop="1" thickBot="1" x14ac:dyDescent="0.35">
      <c r="A50" s="40"/>
      <c r="B50" s="24" t="s">
        <v>2</v>
      </c>
      <c r="C50" s="226"/>
      <c r="D50" s="227"/>
      <c r="E50" s="227"/>
      <c r="F50" s="227"/>
      <c r="G50" s="227"/>
      <c r="H50" s="228"/>
      <c r="I50" s="154" t="s">
        <v>68</v>
      </c>
      <c r="J50" s="154"/>
      <c r="K50" s="154"/>
      <c r="L50" s="154"/>
      <c r="M50" s="154"/>
      <c r="N50" s="154"/>
      <c r="O50" s="154"/>
      <c r="P50" s="213"/>
      <c r="Q50" s="250" t="s">
        <v>19</v>
      </c>
      <c r="R50" s="214"/>
      <c r="S50" s="214"/>
      <c r="T50" s="214"/>
      <c r="U50" s="215"/>
      <c r="V50" s="39"/>
    </row>
    <row r="51" spans="1:22" s="2" customFormat="1" ht="15" customHeight="1" thickBot="1" x14ac:dyDescent="0.35">
      <c r="A51" s="40"/>
      <c r="B51" s="16" t="s">
        <v>8</v>
      </c>
      <c r="C51" s="211" t="s">
        <v>67</v>
      </c>
      <c r="D51" s="211"/>
      <c r="E51" s="212"/>
      <c r="F51" s="194"/>
      <c r="G51" s="195"/>
      <c r="H51" s="196"/>
      <c r="I51" s="194"/>
      <c r="J51" s="195"/>
      <c r="K51" s="195"/>
      <c r="L51" s="195"/>
      <c r="M51" s="195"/>
      <c r="N51" s="195"/>
      <c r="O51" s="195"/>
      <c r="P51" s="196"/>
      <c r="Q51" s="194"/>
      <c r="R51" s="195"/>
      <c r="S51" s="195"/>
      <c r="T51" s="195"/>
      <c r="U51" s="205"/>
      <c r="V51" s="39"/>
    </row>
    <row r="52" spans="1:22" s="2" customFormat="1" ht="15" customHeight="1" thickBot="1" x14ac:dyDescent="0.35">
      <c r="A52" s="40"/>
      <c r="B52" s="17" t="s">
        <v>69</v>
      </c>
      <c r="C52" s="195"/>
      <c r="D52" s="195"/>
      <c r="E52" s="195"/>
      <c r="F52" s="195"/>
      <c r="G52" s="195"/>
      <c r="H52" s="195"/>
      <c r="I52" s="196"/>
      <c r="J52" s="11" t="s">
        <v>70</v>
      </c>
      <c r="K52" s="194"/>
      <c r="L52" s="195"/>
      <c r="M52" s="195"/>
      <c r="N52" s="195"/>
      <c r="O52" s="195"/>
      <c r="P52" s="195"/>
      <c r="Q52" s="195"/>
      <c r="R52" s="195"/>
      <c r="S52" s="195"/>
      <c r="T52" s="195"/>
      <c r="U52" s="205"/>
      <c r="V52" s="39"/>
    </row>
    <row r="53" spans="1:22" s="2" customFormat="1" ht="15" customHeight="1" thickBot="1" x14ac:dyDescent="0.35">
      <c r="A53" s="40"/>
      <c r="B53" s="26" t="s">
        <v>71</v>
      </c>
      <c r="C53" s="277"/>
      <c r="D53" s="277"/>
      <c r="E53" s="277"/>
      <c r="F53" s="277"/>
      <c r="G53" s="277"/>
      <c r="H53" s="277"/>
      <c r="I53" s="278"/>
      <c r="J53" s="23" t="s">
        <v>20</v>
      </c>
      <c r="K53" s="279"/>
      <c r="L53" s="277"/>
      <c r="M53" s="277"/>
      <c r="N53" s="277"/>
      <c r="O53" s="277"/>
      <c r="P53" s="277"/>
      <c r="Q53" s="277"/>
      <c r="R53" s="277"/>
      <c r="S53" s="277"/>
      <c r="T53" s="277"/>
      <c r="U53" s="280"/>
      <c r="V53" s="39"/>
    </row>
    <row r="54" spans="1:22" s="2" customFormat="1" ht="10.199999999999999" customHeight="1" thickTop="1" thickBot="1" x14ac:dyDescent="0.35">
      <c r="A54" s="40"/>
      <c r="V54" s="39"/>
    </row>
    <row r="55" spans="1:22" s="2" customFormat="1" ht="14.4" customHeight="1" thickTop="1" x14ac:dyDescent="0.3">
      <c r="A55" s="40"/>
      <c r="B55" s="264" t="s">
        <v>94</v>
      </c>
      <c r="C55" s="281" t="s">
        <v>75</v>
      </c>
      <c r="D55" s="282"/>
      <c r="E55" s="282"/>
      <c r="F55" s="282"/>
      <c r="G55" s="282"/>
      <c r="H55" s="282"/>
      <c r="I55" s="282"/>
      <c r="J55" s="283"/>
      <c r="K55" s="282" t="s">
        <v>78</v>
      </c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39"/>
    </row>
    <row r="56" spans="1:22" s="2" customFormat="1" ht="14.4" customHeight="1" x14ac:dyDescent="0.3">
      <c r="A56" s="40"/>
      <c r="B56" s="265"/>
      <c r="C56" s="284" t="s">
        <v>76</v>
      </c>
      <c r="D56" s="285"/>
      <c r="E56" s="285"/>
      <c r="F56" s="285"/>
      <c r="G56" s="285"/>
      <c r="H56" s="285"/>
      <c r="I56" s="285"/>
      <c r="J56" s="286"/>
      <c r="K56" s="285" t="s">
        <v>79</v>
      </c>
      <c r="L56" s="285"/>
      <c r="M56" s="285"/>
      <c r="N56" s="285"/>
      <c r="O56" s="285"/>
      <c r="P56" s="285"/>
      <c r="Q56" s="285"/>
      <c r="R56" s="285"/>
      <c r="S56" s="285"/>
      <c r="T56" s="285"/>
      <c r="U56" s="286"/>
      <c r="V56" s="39"/>
    </row>
    <row r="57" spans="1:22" s="2" customFormat="1" ht="15" customHeight="1" thickBot="1" x14ac:dyDescent="0.35">
      <c r="A57" s="40"/>
      <c r="B57" s="266"/>
      <c r="C57" s="263" t="s">
        <v>77</v>
      </c>
      <c r="D57" s="261"/>
      <c r="E57" s="261"/>
      <c r="F57" s="261"/>
      <c r="G57" s="261"/>
      <c r="H57" s="261"/>
      <c r="I57" s="261"/>
      <c r="J57" s="262"/>
      <c r="K57" s="261" t="s">
        <v>77</v>
      </c>
      <c r="L57" s="261"/>
      <c r="M57" s="261"/>
      <c r="N57" s="261"/>
      <c r="O57" s="261"/>
      <c r="P57" s="261"/>
      <c r="Q57" s="261"/>
      <c r="R57" s="261"/>
      <c r="S57" s="261"/>
      <c r="T57" s="261"/>
      <c r="U57" s="262"/>
      <c r="V57" s="39"/>
    </row>
    <row r="58" spans="1:22" s="2" customFormat="1" ht="14.4" customHeight="1" x14ac:dyDescent="0.3">
      <c r="A58" s="40"/>
      <c r="B58" s="224" t="s">
        <v>80</v>
      </c>
      <c r="C58" s="251" t="s">
        <v>81</v>
      </c>
      <c r="D58" s="251"/>
      <c r="E58" s="251"/>
      <c r="F58" s="251"/>
      <c r="G58" s="251"/>
      <c r="H58" s="251"/>
      <c r="I58" s="252"/>
      <c r="J58" s="259" t="s">
        <v>80</v>
      </c>
      <c r="K58" s="255" t="s">
        <v>81</v>
      </c>
      <c r="L58" s="251"/>
      <c r="M58" s="251"/>
      <c r="N58" s="251"/>
      <c r="O58" s="251"/>
      <c r="P58" s="251"/>
      <c r="Q58" s="251"/>
      <c r="R58" s="251"/>
      <c r="S58" s="251"/>
      <c r="T58" s="251"/>
      <c r="U58" s="256"/>
      <c r="V58" s="39"/>
    </row>
    <row r="59" spans="1:22" s="2" customFormat="1" ht="15" customHeight="1" thickBot="1" x14ac:dyDescent="0.35">
      <c r="A59" s="40"/>
      <c r="B59" s="225"/>
      <c r="C59" s="253" t="s">
        <v>195</v>
      </c>
      <c r="D59" s="253"/>
      <c r="E59" s="253"/>
      <c r="F59" s="253"/>
      <c r="G59" s="253"/>
      <c r="H59" s="253"/>
      <c r="I59" s="254"/>
      <c r="J59" s="260"/>
      <c r="K59" s="257" t="s">
        <v>195</v>
      </c>
      <c r="L59" s="253"/>
      <c r="M59" s="253"/>
      <c r="N59" s="253"/>
      <c r="O59" s="253"/>
      <c r="P59" s="253"/>
      <c r="Q59" s="253"/>
      <c r="R59" s="253"/>
      <c r="S59" s="253"/>
      <c r="T59" s="253"/>
      <c r="U59" s="258"/>
      <c r="V59" s="39"/>
    </row>
    <row r="60" spans="1:22" s="2" customFormat="1" ht="14.4" thickTop="1" x14ac:dyDescent="0.3">
      <c r="A60" s="40"/>
      <c r="V60" s="39"/>
    </row>
    <row r="61" spans="1:22" s="2" customFormat="1" x14ac:dyDescent="0.3">
      <c r="A61" s="40"/>
      <c r="V61" s="39"/>
    </row>
    <row r="62" spans="1:22" s="2" customFormat="1" x14ac:dyDescent="0.3">
      <c r="A62" s="40"/>
      <c r="V62" s="39"/>
    </row>
    <row r="63" spans="1:22" s="2" customFormat="1" ht="14.4" thickBot="1" x14ac:dyDescent="0.35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3"/>
    </row>
    <row r="64" spans="1:22" s="2" customFormat="1" ht="7.2" customHeight="1" thickTop="1" thickBot="1" x14ac:dyDescent="0.35"/>
    <row r="65" spans="1:22" s="2" customFormat="1" ht="7.2" customHeight="1" thickTop="1" x14ac:dyDescent="0.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7"/>
    </row>
    <row r="66" spans="1:22" s="2" customFormat="1" ht="18" x14ac:dyDescent="0.3">
      <c r="A66" s="40"/>
      <c r="C66" s="3"/>
      <c r="D66" s="4"/>
      <c r="E66" s="4"/>
      <c r="F66" s="5"/>
      <c r="G66" s="141" t="s">
        <v>30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9"/>
    </row>
    <row r="67" spans="1:22" s="2" customFormat="1" ht="14.4" x14ac:dyDescent="0.3">
      <c r="A67" s="40"/>
      <c r="C67" s="6"/>
      <c r="D67" s="1"/>
      <c r="E67" s="1"/>
      <c r="F67" s="7"/>
      <c r="G67" s="271" t="s">
        <v>31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9"/>
    </row>
    <row r="68" spans="1:22" s="2" customFormat="1" ht="14.4" x14ac:dyDescent="0.3">
      <c r="A68" s="40"/>
      <c r="C68" s="6"/>
      <c r="D68" s="1"/>
      <c r="E68" s="1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9"/>
    </row>
    <row r="69" spans="1:22" s="2" customFormat="1" ht="14.4" x14ac:dyDescent="0.3">
      <c r="A69" s="40"/>
      <c r="C69" s="8"/>
      <c r="D69" s="9"/>
      <c r="E69" s="9"/>
      <c r="F69" s="10"/>
      <c r="G69" s="144" t="s">
        <v>32</v>
      </c>
      <c r="H69" s="145"/>
      <c r="I69" s="146"/>
      <c r="J69" s="144" t="s">
        <v>33</v>
      </c>
      <c r="K69" s="145"/>
      <c r="L69" s="146"/>
      <c r="M69" s="144" t="s">
        <v>34</v>
      </c>
      <c r="N69" s="145"/>
      <c r="O69" s="145"/>
      <c r="P69" s="146"/>
      <c r="Q69" s="144" t="s">
        <v>301</v>
      </c>
      <c r="R69" s="145"/>
      <c r="S69" s="146"/>
      <c r="V69" s="39"/>
    </row>
    <row r="70" spans="1:22" s="2" customFormat="1" x14ac:dyDescent="0.3">
      <c r="A70" s="40"/>
      <c r="V70" s="39"/>
    </row>
    <row r="71" spans="1:22" s="2" customFormat="1" x14ac:dyDescent="0.3">
      <c r="A71" s="333" t="s">
        <v>95</v>
      </c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5"/>
    </row>
    <row r="72" spans="1:22" s="2" customFormat="1" x14ac:dyDescent="0.3">
      <c r="A72" s="40"/>
      <c r="V72" s="39"/>
    </row>
    <row r="73" spans="1:22" s="2" customFormat="1" x14ac:dyDescent="0.3">
      <c r="A73" s="40"/>
      <c r="B73" s="138" t="s">
        <v>96</v>
      </c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39"/>
    </row>
    <row r="74" spans="1:22" s="2" customFormat="1" x14ac:dyDescent="0.3">
      <c r="A74" s="40"/>
      <c r="B74" s="138" t="s">
        <v>97</v>
      </c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39"/>
    </row>
    <row r="75" spans="1:22" s="2" customFormat="1" x14ac:dyDescent="0.3">
      <c r="A75" s="40"/>
      <c r="B75" s="44" t="s">
        <v>98</v>
      </c>
      <c r="H75" s="336"/>
      <c r="I75" s="336"/>
      <c r="J75" s="336"/>
      <c r="K75" s="336"/>
      <c r="L75" s="336"/>
      <c r="M75" s="336"/>
      <c r="N75" s="332" t="s">
        <v>99</v>
      </c>
      <c r="O75" s="332"/>
      <c r="P75" s="332"/>
      <c r="Q75" s="332"/>
      <c r="R75" s="332"/>
      <c r="S75" s="332"/>
      <c r="T75" s="332"/>
      <c r="U75" s="332"/>
      <c r="V75" s="39"/>
    </row>
    <row r="76" spans="1:22" s="2" customFormat="1" x14ac:dyDescent="0.3">
      <c r="A76" s="40"/>
      <c r="B76" s="48" t="s">
        <v>100</v>
      </c>
      <c r="F76" s="336"/>
      <c r="G76" s="336"/>
      <c r="H76" s="336"/>
      <c r="I76" s="336"/>
      <c r="J76" s="336"/>
      <c r="K76" s="44" t="s">
        <v>101</v>
      </c>
      <c r="L76" s="198"/>
      <c r="M76" s="198"/>
      <c r="N76" s="198"/>
      <c r="O76" s="198"/>
      <c r="P76" s="198"/>
      <c r="Q76" s="198"/>
      <c r="R76" s="198"/>
      <c r="S76" s="198"/>
      <c r="T76" s="331" t="s">
        <v>102</v>
      </c>
      <c r="U76" s="331"/>
      <c r="V76" s="39"/>
    </row>
    <row r="77" spans="1:22" s="2" customFormat="1" ht="13.8" customHeight="1" x14ac:dyDescent="0.3">
      <c r="A77" s="40"/>
      <c r="B77" s="139" t="s">
        <v>196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39"/>
    </row>
    <row r="78" spans="1:22" s="2" customFormat="1" x14ac:dyDescent="0.3">
      <c r="A78" s="40"/>
      <c r="B78" s="138" t="s">
        <v>103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39"/>
    </row>
    <row r="79" spans="1:22" s="2" customFormat="1" x14ac:dyDescent="0.3">
      <c r="A79" s="40"/>
      <c r="B79" s="139" t="s">
        <v>104</v>
      </c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39"/>
    </row>
    <row r="80" spans="1:22" s="2" customFormat="1" x14ac:dyDescent="0.3">
      <c r="A80" s="40"/>
      <c r="V80" s="39"/>
    </row>
    <row r="81" spans="1:22" s="2" customFormat="1" x14ac:dyDescent="0.3">
      <c r="A81" s="40"/>
      <c r="B81" s="138" t="s">
        <v>105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39"/>
    </row>
    <row r="82" spans="1:22" s="2" customFormat="1" x14ac:dyDescent="0.3">
      <c r="A82" s="40"/>
      <c r="B82" s="138" t="s">
        <v>108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39"/>
    </row>
    <row r="83" spans="1:22" s="2" customFormat="1" x14ac:dyDescent="0.3">
      <c r="A83" s="40"/>
      <c r="B83" s="138" t="s">
        <v>109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39"/>
    </row>
    <row r="84" spans="1:22" s="2" customFormat="1" x14ac:dyDescent="0.3">
      <c r="A84" s="40"/>
      <c r="B84" s="139" t="s">
        <v>110</v>
      </c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39"/>
    </row>
    <row r="85" spans="1:22" s="2" customFormat="1" x14ac:dyDescent="0.3">
      <c r="A85" s="40"/>
      <c r="V85" s="39"/>
    </row>
    <row r="86" spans="1:22" s="2" customFormat="1" x14ac:dyDescent="0.3">
      <c r="A86" s="40"/>
      <c r="B86" s="138" t="s">
        <v>197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39"/>
    </row>
    <row r="87" spans="1:22" s="2" customFormat="1" x14ac:dyDescent="0.3">
      <c r="A87" s="40"/>
      <c r="B87" s="138" t="s">
        <v>140</v>
      </c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39"/>
    </row>
    <row r="88" spans="1:22" s="2" customFormat="1" x14ac:dyDescent="0.3">
      <c r="A88" s="40"/>
      <c r="B88" s="138" t="s">
        <v>141</v>
      </c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39"/>
    </row>
    <row r="89" spans="1:22" s="2" customFormat="1" x14ac:dyDescent="0.3">
      <c r="A89" s="40"/>
      <c r="B89" s="138" t="s">
        <v>142</v>
      </c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39"/>
    </row>
    <row r="90" spans="1:22" s="2" customFormat="1" x14ac:dyDescent="0.3">
      <c r="A90" s="40"/>
      <c r="B90" s="138" t="s">
        <v>111</v>
      </c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39"/>
    </row>
    <row r="91" spans="1:22" s="2" customFormat="1" x14ac:dyDescent="0.3">
      <c r="A91" s="40"/>
      <c r="B91" s="138" t="s">
        <v>112</v>
      </c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39"/>
    </row>
    <row r="92" spans="1:22" s="2" customFormat="1" x14ac:dyDescent="0.3">
      <c r="A92" s="40"/>
      <c r="B92" s="138" t="s">
        <v>106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39"/>
    </row>
    <row r="93" spans="1:22" s="2" customFormat="1" x14ac:dyDescent="0.3">
      <c r="A93" s="40"/>
      <c r="B93" s="138" t="s">
        <v>107</v>
      </c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39"/>
    </row>
    <row r="94" spans="1:22" s="2" customFormat="1" x14ac:dyDescent="0.3">
      <c r="A94" s="40"/>
      <c r="B94" s="139" t="s">
        <v>113</v>
      </c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39"/>
    </row>
    <row r="95" spans="1:22" s="2" customFormat="1" x14ac:dyDescent="0.3">
      <c r="A95" s="40"/>
      <c r="V95" s="39"/>
    </row>
    <row r="96" spans="1:22" s="2" customFormat="1" x14ac:dyDescent="0.3">
      <c r="A96" s="40"/>
      <c r="B96" s="138" t="s">
        <v>114</v>
      </c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39"/>
    </row>
    <row r="97" spans="1:22" s="2" customFormat="1" x14ac:dyDescent="0.3">
      <c r="A97" s="40"/>
      <c r="B97" s="138" t="s">
        <v>198</v>
      </c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39"/>
    </row>
    <row r="98" spans="1:22" s="2" customFormat="1" x14ac:dyDescent="0.3">
      <c r="A98" s="40"/>
      <c r="B98" s="138" t="s">
        <v>115</v>
      </c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39"/>
    </row>
    <row r="99" spans="1:22" s="2" customFormat="1" x14ac:dyDescent="0.3">
      <c r="A99" s="40"/>
      <c r="B99" s="139" t="s">
        <v>116</v>
      </c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39"/>
    </row>
    <row r="100" spans="1:22" s="2" customFormat="1" x14ac:dyDescent="0.3">
      <c r="A100" s="40"/>
      <c r="V100" s="39"/>
    </row>
    <row r="101" spans="1:22" s="2" customFormat="1" x14ac:dyDescent="0.3">
      <c r="A101" s="40"/>
      <c r="B101" s="138" t="s">
        <v>117</v>
      </c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39"/>
    </row>
    <row r="102" spans="1:22" s="2" customFormat="1" x14ac:dyDescent="0.3">
      <c r="A102" s="40"/>
      <c r="B102" s="138" t="s">
        <v>118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39"/>
    </row>
    <row r="103" spans="1:22" s="2" customFormat="1" x14ac:dyDescent="0.3">
      <c r="A103" s="40"/>
      <c r="B103" s="138" t="s">
        <v>119</v>
      </c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39"/>
    </row>
    <row r="104" spans="1:22" s="2" customFormat="1" x14ac:dyDescent="0.3">
      <c r="A104" s="40"/>
      <c r="B104" s="138" t="s">
        <v>120</v>
      </c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39"/>
    </row>
    <row r="105" spans="1:22" s="2" customFormat="1" x14ac:dyDescent="0.3">
      <c r="A105" s="40"/>
      <c r="B105" s="138" t="s">
        <v>199</v>
      </c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39"/>
    </row>
    <row r="106" spans="1:22" s="2" customFormat="1" x14ac:dyDescent="0.3">
      <c r="A106" s="40"/>
      <c r="B106" s="139" t="s">
        <v>121</v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39"/>
    </row>
    <row r="107" spans="1:22" s="2" customFormat="1" x14ac:dyDescent="0.3">
      <c r="A107" s="40"/>
      <c r="V107" s="39"/>
    </row>
    <row r="108" spans="1:22" s="2" customFormat="1" x14ac:dyDescent="0.3">
      <c r="A108" s="40"/>
      <c r="B108" s="44" t="s">
        <v>122</v>
      </c>
      <c r="C108" s="44"/>
      <c r="D108" s="44"/>
      <c r="E108" s="44"/>
      <c r="F108" s="44"/>
      <c r="G108" s="44"/>
      <c r="H108" s="44"/>
      <c r="I108" s="44"/>
      <c r="J108" s="44"/>
      <c r="K108" s="69"/>
      <c r="L108" s="44" t="s">
        <v>123</v>
      </c>
      <c r="M108" s="337"/>
      <c r="N108" s="337"/>
      <c r="O108" s="44" t="s">
        <v>123</v>
      </c>
      <c r="P108" s="337"/>
      <c r="Q108" s="337"/>
      <c r="R108" s="44" t="s">
        <v>124</v>
      </c>
      <c r="S108" s="69"/>
      <c r="T108" s="44" t="s">
        <v>125</v>
      </c>
      <c r="U108" s="44"/>
      <c r="V108" s="39"/>
    </row>
    <row r="109" spans="1:22" s="2" customFormat="1" x14ac:dyDescent="0.3">
      <c r="A109" s="40"/>
      <c r="B109" s="99"/>
      <c r="C109" s="44" t="s">
        <v>123</v>
      </c>
      <c r="D109" s="336"/>
      <c r="E109" s="336"/>
      <c r="V109" s="39"/>
    </row>
    <row r="110" spans="1:22" s="2" customFormat="1" x14ac:dyDescent="0.3">
      <c r="A110" s="40"/>
      <c r="V110" s="39"/>
    </row>
    <row r="111" spans="1:22" s="2" customFormat="1" x14ac:dyDescent="0.3">
      <c r="A111" s="40"/>
      <c r="B111" s="138" t="s">
        <v>200</v>
      </c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39"/>
    </row>
    <row r="112" spans="1:22" s="2" customFormat="1" x14ac:dyDescent="0.3">
      <c r="A112" s="40"/>
      <c r="B112" s="139" t="s">
        <v>126</v>
      </c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39"/>
    </row>
    <row r="113" spans="1:22" s="2" customFormat="1" x14ac:dyDescent="0.3">
      <c r="A113" s="40"/>
      <c r="B113" s="44"/>
      <c r="V113" s="39"/>
    </row>
    <row r="114" spans="1:22" s="2" customFormat="1" x14ac:dyDescent="0.3">
      <c r="A114" s="40"/>
      <c r="B114" s="44" t="s">
        <v>127</v>
      </c>
      <c r="G114" s="338"/>
      <c r="H114" s="338"/>
      <c r="I114" s="338"/>
      <c r="J114" s="338"/>
      <c r="K114" s="338"/>
      <c r="L114" s="338"/>
      <c r="M114" s="338"/>
      <c r="N114" s="338"/>
      <c r="O114" s="338"/>
      <c r="P114" s="44" t="s">
        <v>128</v>
      </c>
      <c r="Q114" s="338"/>
      <c r="R114" s="338"/>
      <c r="S114" s="338"/>
      <c r="T114" s="338"/>
      <c r="U114" s="44" t="s">
        <v>129</v>
      </c>
      <c r="V114" s="39"/>
    </row>
    <row r="115" spans="1:22" s="2" customFormat="1" x14ac:dyDescent="0.3">
      <c r="A115" s="40"/>
      <c r="B115" s="44" t="s">
        <v>131</v>
      </c>
      <c r="G115" s="68"/>
      <c r="H115" s="44" t="s">
        <v>143</v>
      </c>
      <c r="L115" s="140"/>
      <c r="M115" s="140"/>
      <c r="N115" s="140"/>
      <c r="O115" s="140"/>
      <c r="P115" s="140"/>
      <c r="Q115" s="140"/>
      <c r="R115" s="44" t="s">
        <v>128</v>
      </c>
      <c r="S115" s="140"/>
      <c r="T115" s="140"/>
      <c r="U115" s="44" t="s">
        <v>129</v>
      </c>
      <c r="V115" s="39"/>
    </row>
    <row r="116" spans="1:22" s="2" customFormat="1" x14ac:dyDescent="0.3">
      <c r="A116" s="40"/>
      <c r="B116" s="44" t="s">
        <v>130</v>
      </c>
      <c r="V116" s="39"/>
    </row>
    <row r="117" spans="1:22" s="2" customFormat="1" x14ac:dyDescent="0.3">
      <c r="A117" s="40"/>
      <c r="V117" s="39"/>
    </row>
    <row r="118" spans="1:22" s="2" customFormat="1" x14ac:dyDescent="0.3">
      <c r="A118" s="40"/>
      <c r="B118" s="138" t="s">
        <v>201</v>
      </c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39"/>
    </row>
    <row r="119" spans="1:22" s="2" customFormat="1" x14ac:dyDescent="0.3">
      <c r="A119" s="40"/>
      <c r="B119" s="138" t="s">
        <v>132</v>
      </c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39"/>
    </row>
    <row r="120" spans="1:22" s="2" customFormat="1" x14ac:dyDescent="0.3">
      <c r="A120" s="40"/>
      <c r="B120" s="138" t="s">
        <v>133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39"/>
    </row>
    <row r="121" spans="1:22" s="2" customFormat="1" x14ac:dyDescent="0.3">
      <c r="A121" s="40"/>
      <c r="B121" s="138" t="s">
        <v>134</v>
      </c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39"/>
    </row>
    <row r="122" spans="1:22" s="2" customFormat="1" x14ac:dyDescent="0.3">
      <c r="A122" s="40"/>
      <c r="B122" s="138" t="s">
        <v>135</v>
      </c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39"/>
    </row>
    <row r="123" spans="1:22" s="2" customFormat="1" x14ac:dyDescent="0.3">
      <c r="A123" s="40"/>
      <c r="B123" s="139" t="s">
        <v>136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39"/>
    </row>
    <row r="124" spans="1:22" s="2" customFormat="1" x14ac:dyDescent="0.3">
      <c r="A124" s="40"/>
      <c r="V124" s="39"/>
    </row>
    <row r="125" spans="1:22" s="2" customFormat="1" x14ac:dyDescent="0.3">
      <c r="A125" s="40"/>
      <c r="B125" s="138" t="s">
        <v>137</v>
      </c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39"/>
    </row>
    <row r="126" spans="1:22" s="2" customFormat="1" x14ac:dyDescent="0.3">
      <c r="A126" s="40"/>
      <c r="B126" s="138" t="s">
        <v>272</v>
      </c>
      <c r="C126" s="138"/>
      <c r="D126" s="138"/>
      <c r="E126" s="138"/>
      <c r="F126" s="79"/>
      <c r="G126" s="139" t="s">
        <v>273</v>
      </c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39"/>
    </row>
    <row r="127" spans="1:22" s="2" customFormat="1" x14ac:dyDescent="0.3">
      <c r="A127" s="40"/>
      <c r="V127" s="39"/>
    </row>
    <row r="128" spans="1:22" s="2" customFormat="1" x14ac:dyDescent="0.3">
      <c r="A128" s="40"/>
      <c r="B128" s="138" t="s">
        <v>202</v>
      </c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39"/>
    </row>
    <row r="129" spans="1:22" s="2" customFormat="1" x14ac:dyDescent="0.3">
      <c r="A129" s="40"/>
      <c r="B129" s="138" t="s">
        <v>138</v>
      </c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39"/>
    </row>
    <row r="130" spans="1:22" s="2" customFormat="1" ht="15" customHeight="1" thickBot="1" x14ac:dyDescent="0.35">
      <c r="A130" s="41"/>
      <c r="B130" s="137" t="s">
        <v>139</v>
      </c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43"/>
    </row>
    <row r="131" spans="1:22" s="2" customFormat="1" ht="7.2" customHeight="1" thickTop="1" thickBot="1" x14ac:dyDescent="0.35"/>
    <row r="132" spans="1:22" s="2" customFormat="1" ht="7.2" customHeight="1" thickTop="1" x14ac:dyDescent="0.3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7"/>
    </row>
    <row r="133" spans="1:22" s="2" customFormat="1" ht="18" x14ac:dyDescent="0.3">
      <c r="A133" s="40"/>
      <c r="C133" s="3"/>
      <c r="D133" s="4"/>
      <c r="E133" s="4"/>
      <c r="F133" s="5"/>
      <c r="G133" s="141" t="s">
        <v>30</v>
      </c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3"/>
      <c r="V133" s="39"/>
    </row>
    <row r="134" spans="1:22" s="2" customFormat="1" ht="14.4" x14ac:dyDescent="0.3">
      <c r="A134" s="40"/>
      <c r="C134" s="6"/>
      <c r="D134" s="1"/>
      <c r="E134" s="1"/>
      <c r="F134" s="7"/>
      <c r="G134" s="271" t="s">
        <v>31</v>
      </c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3"/>
      <c r="V134" s="39"/>
    </row>
    <row r="135" spans="1:22" s="2" customFormat="1" ht="14.4" x14ac:dyDescent="0.3">
      <c r="A135" s="40"/>
      <c r="C135" s="6"/>
      <c r="D135" s="1"/>
      <c r="E135" s="1"/>
      <c r="F135" s="7"/>
      <c r="G135" s="274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6"/>
      <c r="V135" s="39"/>
    </row>
    <row r="136" spans="1:22" s="2" customFormat="1" ht="14.4" x14ac:dyDescent="0.3">
      <c r="A136" s="40"/>
      <c r="C136" s="8"/>
      <c r="D136" s="9"/>
      <c r="E136" s="9"/>
      <c r="F136" s="10"/>
      <c r="G136" s="144" t="s">
        <v>32</v>
      </c>
      <c r="H136" s="145"/>
      <c r="I136" s="146"/>
      <c r="J136" s="144" t="s">
        <v>33</v>
      </c>
      <c r="K136" s="145"/>
      <c r="L136" s="146"/>
      <c r="M136" s="144" t="s">
        <v>34</v>
      </c>
      <c r="N136" s="145"/>
      <c r="O136" s="145"/>
      <c r="P136" s="146"/>
      <c r="Q136" s="144" t="s">
        <v>300</v>
      </c>
      <c r="R136" s="145"/>
      <c r="S136" s="146"/>
      <c r="V136" s="39"/>
    </row>
    <row r="137" spans="1:22" s="2" customFormat="1" x14ac:dyDescent="0.3">
      <c r="A137" s="40"/>
      <c r="V137" s="39"/>
    </row>
    <row r="138" spans="1:22" s="2" customFormat="1" x14ac:dyDescent="0.3">
      <c r="A138" s="40"/>
      <c r="B138" s="138" t="s">
        <v>144</v>
      </c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39"/>
    </row>
    <row r="139" spans="1:22" s="2" customFormat="1" x14ac:dyDescent="0.3">
      <c r="A139" s="40"/>
      <c r="B139" s="138" t="s">
        <v>145</v>
      </c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39"/>
    </row>
    <row r="140" spans="1:22" s="2" customFormat="1" x14ac:dyDescent="0.3">
      <c r="A140" s="40"/>
      <c r="B140" s="138" t="s">
        <v>203</v>
      </c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39"/>
    </row>
    <row r="141" spans="1:22" s="2" customFormat="1" x14ac:dyDescent="0.3">
      <c r="A141" s="40"/>
      <c r="B141" s="139" t="s">
        <v>146</v>
      </c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39"/>
    </row>
    <row r="142" spans="1:22" s="2" customFormat="1" x14ac:dyDescent="0.3">
      <c r="A142" s="40"/>
      <c r="V142" s="39"/>
    </row>
    <row r="143" spans="1:22" s="2" customFormat="1" x14ac:dyDescent="0.3">
      <c r="A143" s="40"/>
      <c r="B143" s="138" t="s">
        <v>147</v>
      </c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39"/>
    </row>
    <row r="144" spans="1:22" s="2" customFormat="1" x14ac:dyDescent="0.3">
      <c r="A144" s="40"/>
      <c r="B144" s="138" t="s">
        <v>148</v>
      </c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39"/>
    </row>
    <row r="145" spans="1:22" s="2" customFormat="1" x14ac:dyDescent="0.3">
      <c r="A145" s="40"/>
      <c r="B145" s="138" t="s">
        <v>204</v>
      </c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39"/>
    </row>
    <row r="146" spans="1:22" s="2" customFormat="1" x14ac:dyDescent="0.3">
      <c r="A146" s="40"/>
      <c r="B146" s="138" t="s">
        <v>149</v>
      </c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39"/>
    </row>
    <row r="147" spans="1:22" s="2" customFormat="1" x14ac:dyDescent="0.3">
      <c r="A147" s="40"/>
      <c r="B147" s="138" t="s">
        <v>150</v>
      </c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39"/>
    </row>
    <row r="148" spans="1:22" s="2" customFormat="1" x14ac:dyDescent="0.3">
      <c r="A148" s="40"/>
      <c r="B148" s="138" t="s">
        <v>151</v>
      </c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39"/>
    </row>
    <row r="149" spans="1:22" s="2" customFormat="1" x14ac:dyDescent="0.3">
      <c r="A149" s="40"/>
      <c r="B149" s="139" t="s">
        <v>152</v>
      </c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39"/>
    </row>
    <row r="150" spans="1:22" s="2" customFormat="1" x14ac:dyDescent="0.3">
      <c r="A150" s="40"/>
      <c r="B150" s="139" t="s">
        <v>153</v>
      </c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39"/>
    </row>
    <row r="151" spans="1:22" s="2" customFormat="1" x14ac:dyDescent="0.3">
      <c r="A151" s="40"/>
      <c r="B151" s="139" t="s">
        <v>154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39"/>
    </row>
    <row r="152" spans="1:22" s="2" customFormat="1" x14ac:dyDescent="0.3">
      <c r="A152" s="40"/>
      <c r="V152" s="39"/>
    </row>
    <row r="153" spans="1:22" s="2" customFormat="1" x14ac:dyDescent="0.3">
      <c r="A153" s="40"/>
      <c r="B153" s="138" t="s">
        <v>155</v>
      </c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39"/>
    </row>
    <row r="154" spans="1:22" s="2" customFormat="1" x14ac:dyDescent="0.3">
      <c r="A154" s="40"/>
      <c r="B154" s="138" t="s">
        <v>156</v>
      </c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39"/>
    </row>
    <row r="155" spans="1:22" s="2" customFormat="1" x14ac:dyDescent="0.3">
      <c r="A155" s="40"/>
      <c r="B155" s="139" t="s">
        <v>157</v>
      </c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39"/>
    </row>
    <row r="156" spans="1:22" s="2" customFormat="1" x14ac:dyDescent="0.3">
      <c r="A156" s="40"/>
      <c r="V156" s="39"/>
    </row>
    <row r="157" spans="1:22" s="2" customFormat="1" x14ac:dyDescent="0.3">
      <c r="A157" s="40"/>
      <c r="B157" s="138" t="s">
        <v>158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39"/>
    </row>
    <row r="158" spans="1:22" s="2" customFormat="1" x14ac:dyDescent="0.3">
      <c r="A158" s="40"/>
      <c r="B158" s="139" t="s">
        <v>159</v>
      </c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39"/>
    </row>
    <row r="159" spans="1:22" s="2" customFormat="1" x14ac:dyDescent="0.3">
      <c r="A159" s="40"/>
      <c r="V159" s="39"/>
    </row>
    <row r="160" spans="1:22" s="2" customFormat="1" x14ac:dyDescent="0.3">
      <c r="A160" s="40"/>
      <c r="B160" s="138" t="s">
        <v>160</v>
      </c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39"/>
    </row>
    <row r="161" spans="1:22" s="2" customFormat="1" x14ac:dyDescent="0.3">
      <c r="A161" s="40"/>
      <c r="B161" s="138" t="s">
        <v>161</v>
      </c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39"/>
    </row>
    <row r="162" spans="1:22" s="2" customFormat="1" x14ac:dyDescent="0.3">
      <c r="A162" s="40"/>
      <c r="B162" s="139" t="s">
        <v>162</v>
      </c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39"/>
    </row>
    <row r="163" spans="1:22" s="2" customFormat="1" x14ac:dyDescent="0.3">
      <c r="A163" s="40"/>
      <c r="V163" s="39"/>
    </row>
    <row r="164" spans="1:22" s="2" customFormat="1" x14ac:dyDescent="0.3">
      <c r="A164" s="40"/>
      <c r="B164" s="139" t="s">
        <v>163</v>
      </c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39"/>
    </row>
    <row r="165" spans="1:22" s="2" customFormat="1" x14ac:dyDescent="0.3">
      <c r="A165" s="40"/>
      <c r="V165" s="39"/>
    </row>
    <row r="166" spans="1:22" s="2" customFormat="1" x14ac:dyDescent="0.3">
      <c r="A166" s="40"/>
      <c r="B166" s="138" t="s">
        <v>164</v>
      </c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39"/>
    </row>
    <row r="167" spans="1:22" s="2" customFormat="1" x14ac:dyDescent="0.3">
      <c r="A167" s="40"/>
      <c r="B167" s="138" t="s">
        <v>165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39"/>
    </row>
    <row r="168" spans="1:22" s="2" customFormat="1" x14ac:dyDescent="0.3">
      <c r="A168" s="40"/>
      <c r="B168" s="138" t="s">
        <v>166</v>
      </c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39"/>
    </row>
    <row r="169" spans="1:22" s="2" customFormat="1" x14ac:dyDescent="0.3">
      <c r="A169" s="40"/>
      <c r="B169" s="138" t="s">
        <v>167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39"/>
    </row>
    <row r="170" spans="1:22" s="2" customFormat="1" x14ac:dyDescent="0.3">
      <c r="A170" s="40"/>
      <c r="B170" s="139" t="s">
        <v>168</v>
      </c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39"/>
    </row>
    <row r="171" spans="1:22" s="2" customFormat="1" x14ac:dyDescent="0.3">
      <c r="A171" s="40"/>
      <c r="V171" s="39"/>
    </row>
    <row r="172" spans="1:22" s="2" customFormat="1" x14ac:dyDescent="0.3">
      <c r="A172" s="40"/>
      <c r="B172" s="138" t="s">
        <v>169</v>
      </c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39"/>
    </row>
    <row r="173" spans="1:22" s="2" customFormat="1" x14ac:dyDescent="0.3">
      <c r="A173" s="40"/>
      <c r="B173" s="139" t="s">
        <v>170</v>
      </c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39"/>
    </row>
    <row r="174" spans="1:22" s="2" customFormat="1" x14ac:dyDescent="0.3">
      <c r="A174" s="40"/>
      <c r="V174" s="39"/>
    </row>
    <row r="175" spans="1:22" s="2" customFormat="1" x14ac:dyDescent="0.3">
      <c r="A175" s="40"/>
      <c r="B175" s="138" t="s">
        <v>171</v>
      </c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39"/>
    </row>
    <row r="176" spans="1:22" s="2" customFormat="1" x14ac:dyDescent="0.3">
      <c r="A176" s="40"/>
      <c r="B176" s="139" t="s">
        <v>172</v>
      </c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39"/>
    </row>
    <row r="177" spans="1:22" s="2" customFormat="1" x14ac:dyDescent="0.3">
      <c r="A177" s="40"/>
      <c r="V177" s="39"/>
    </row>
    <row r="178" spans="1:22" s="2" customFormat="1" x14ac:dyDescent="0.3">
      <c r="A178" s="40"/>
      <c r="B178" s="138" t="s">
        <v>173</v>
      </c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39"/>
    </row>
    <row r="179" spans="1:22" s="2" customFormat="1" x14ac:dyDescent="0.3">
      <c r="A179" s="40"/>
      <c r="B179" s="138" t="s">
        <v>174</v>
      </c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39"/>
    </row>
    <row r="180" spans="1:22" s="2" customFormat="1" x14ac:dyDescent="0.3">
      <c r="A180" s="40"/>
      <c r="B180" s="138" t="s">
        <v>175</v>
      </c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39"/>
    </row>
    <row r="181" spans="1:22" s="2" customFormat="1" x14ac:dyDescent="0.3">
      <c r="A181" s="40"/>
      <c r="B181" s="138" t="s">
        <v>176</v>
      </c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39"/>
    </row>
    <row r="182" spans="1:22" s="2" customFormat="1" x14ac:dyDescent="0.3">
      <c r="A182" s="40"/>
      <c r="B182" s="139" t="s">
        <v>177</v>
      </c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39"/>
    </row>
    <row r="183" spans="1:22" s="2" customFormat="1" x14ac:dyDescent="0.3">
      <c r="A183" s="40"/>
      <c r="B183" s="139" t="s">
        <v>178</v>
      </c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39"/>
    </row>
    <row r="184" spans="1:22" s="2" customFormat="1" x14ac:dyDescent="0.3">
      <c r="A184" s="40"/>
      <c r="V184" s="39"/>
    </row>
    <row r="185" spans="1:22" s="2" customFormat="1" x14ac:dyDescent="0.3">
      <c r="A185" s="40"/>
      <c r="B185" s="138" t="s">
        <v>179</v>
      </c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39"/>
    </row>
    <row r="186" spans="1:22" s="2" customFormat="1" x14ac:dyDescent="0.3">
      <c r="A186" s="40"/>
      <c r="B186" s="138" t="s">
        <v>180</v>
      </c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39"/>
    </row>
    <row r="187" spans="1:22" s="2" customFormat="1" x14ac:dyDescent="0.3">
      <c r="A187" s="40"/>
      <c r="B187" s="139" t="s">
        <v>181</v>
      </c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39"/>
    </row>
    <row r="188" spans="1:22" s="2" customFormat="1" x14ac:dyDescent="0.3">
      <c r="A188" s="40"/>
      <c r="V188" s="39"/>
    </row>
    <row r="189" spans="1:22" s="2" customFormat="1" x14ac:dyDescent="0.3">
      <c r="A189" s="40"/>
      <c r="B189" s="139" t="s">
        <v>185</v>
      </c>
      <c r="C189" s="139"/>
      <c r="D189" s="139"/>
      <c r="E189" s="139"/>
      <c r="F189" s="139"/>
      <c r="G189" s="139"/>
      <c r="H189" s="336"/>
      <c r="I189" s="336"/>
      <c r="J189" s="44" t="s">
        <v>182</v>
      </c>
      <c r="K189" s="336"/>
      <c r="L189" s="336"/>
      <c r="M189" s="336"/>
      <c r="N189" s="44" t="s">
        <v>183</v>
      </c>
      <c r="P189" s="336"/>
      <c r="Q189" s="336"/>
      <c r="R189" s="2" t="s">
        <v>184</v>
      </c>
      <c r="V189" s="39"/>
    </row>
    <row r="190" spans="1:22" s="2" customFormat="1" ht="14.4" thickBot="1" x14ac:dyDescent="0.35">
      <c r="A190" s="40"/>
      <c r="V190" s="39"/>
    </row>
    <row r="191" spans="1:22" s="2" customFormat="1" ht="14.4" thickBot="1" x14ac:dyDescent="0.35">
      <c r="A191" s="40"/>
      <c r="B191" s="349" t="s">
        <v>192</v>
      </c>
      <c r="C191" s="349"/>
      <c r="D191" s="349"/>
      <c r="E191" s="349"/>
      <c r="F191" s="349"/>
      <c r="G191" s="87" t="s">
        <v>193</v>
      </c>
      <c r="H191" s="49"/>
      <c r="I191" s="49"/>
      <c r="J191" s="50"/>
      <c r="K191" s="87" t="s">
        <v>193</v>
      </c>
      <c r="L191" s="49"/>
      <c r="M191" s="49"/>
      <c r="N191" s="49"/>
      <c r="O191" s="49"/>
      <c r="P191" s="49"/>
      <c r="Q191" s="84"/>
      <c r="R191" s="87" t="s">
        <v>193</v>
      </c>
      <c r="S191" s="49"/>
      <c r="T191" s="49"/>
      <c r="U191" s="50"/>
      <c r="V191" s="39"/>
    </row>
    <row r="192" spans="1:22" s="2" customFormat="1" ht="14.4" thickBot="1" x14ac:dyDescent="0.35">
      <c r="A192" s="40"/>
      <c r="B192" s="339" t="s">
        <v>186</v>
      </c>
      <c r="C192" s="339"/>
      <c r="D192" s="339"/>
      <c r="E192" s="339"/>
      <c r="F192" s="80"/>
      <c r="G192" s="82"/>
      <c r="J192" s="52"/>
      <c r="K192" s="51"/>
      <c r="Q192" s="85"/>
      <c r="R192" s="51"/>
      <c r="U192" s="52"/>
      <c r="V192" s="39"/>
    </row>
    <row r="193" spans="1:22" s="2" customFormat="1" ht="14.4" thickBot="1" x14ac:dyDescent="0.35">
      <c r="A193" s="40"/>
      <c r="B193" s="339" t="s">
        <v>187</v>
      </c>
      <c r="C193" s="339"/>
      <c r="D193" s="339"/>
      <c r="E193" s="339"/>
      <c r="F193" s="80"/>
      <c r="G193" s="82"/>
      <c r="J193" s="52"/>
      <c r="K193" s="51"/>
      <c r="Q193" s="85"/>
      <c r="R193" s="51"/>
      <c r="U193" s="52"/>
      <c r="V193" s="39"/>
    </row>
    <row r="194" spans="1:22" s="2" customFormat="1" ht="15" customHeight="1" thickBot="1" x14ac:dyDescent="0.35">
      <c r="A194" s="40"/>
      <c r="B194" s="339" t="s">
        <v>188</v>
      </c>
      <c r="C194" s="339"/>
      <c r="D194" s="339"/>
      <c r="E194" s="339"/>
      <c r="F194" s="80"/>
      <c r="G194" s="359"/>
      <c r="H194" s="360"/>
      <c r="I194" s="360"/>
      <c r="J194" s="361"/>
      <c r="K194" s="359"/>
      <c r="L194" s="360"/>
      <c r="M194" s="360"/>
      <c r="N194" s="360"/>
      <c r="O194" s="360"/>
      <c r="P194" s="360"/>
      <c r="Q194" s="361"/>
      <c r="R194" s="352" t="s">
        <v>274</v>
      </c>
      <c r="S194" s="353"/>
      <c r="T194" s="353"/>
      <c r="U194" s="354"/>
      <c r="V194" s="39"/>
    </row>
    <row r="195" spans="1:22" s="2" customFormat="1" ht="15" customHeight="1" thickBot="1" x14ac:dyDescent="0.35">
      <c r="A195" s="40"/>
      <c r="B195" s="339" t="s">
        <v>189</v>
      </c>
      <c r="C195" s="339"/>
      <c r="D195" s="339"/>
      <c r="E195" s="339"/>
      <c r="F195" s="80"/>
      <c r="G195" s="86" t="s">
        <v>210</v>
      </c>
      <c r="H195" s="350"/>
      <c r="I195" s="350"/>
      <c r="J195" s="351"/>
      <c r="K195" s="86" t="s">
        <v>210</v>
      </c>
      <c r="L195" s="53"/>
      <c r="M195" s="357"/>
      <c r="N195" s="357"/>
      <c r="O195" s="357"/>
      <c r="P195" s="357"/>
      <c r="Q195" s="358"/>
      <c r="R195" s="86" t="s">
        <v>210</v>
      </c>
      <c r="S195" s="83"/>
      <c r="T195" s="355">
        <v>46352777</v>
      </c>
      <c r="U195" s="356"/>
      <c r="V195" s="39"/>
    </row>
    <row r="196" spans="1:22" s="2" customFormat="1" ht="14.4" thickBot="1" x14ac:dyDescent="0.35">
      <c r="A196" s="40"/>
      <c r="B196" s="339" t="s">
        <v>190</v>
      </c>
      <c r="C196" s="339"/>
      <c r="D196" s="339"/>
      <c r="E196" s="339"/>
      <c r="F196" s="80"/>
      <c r="G196" s="343" t="s">
        <v>205</v>
      </c>
      <c r="H196" s="344"/>
      <c r="I196" s="344"/>
      <c r="J196" s="345"/>
      <c r="K196" s="343" t="s">
        <v>207</v>
      </c>
      <c r="L196" s="344"/>
      <c r="M196" s="344"/>
      <c r="N196" s="344"/>
      <c r="O196" s="344"/>
      <c r="P196" s="345"/>
      <c r="Q196" s="343" t="s">
        <v>208</v>
      </c>
      <c r="R196" s="344"/>
      <c r="S196" s="344"/>
      <c r="T196" s="344"/>
      <c r="U196" s="345"/>
      <c r="V196" s="39"/>
    </row>
    <row r="197" spans="1:22" s="2" customFormat="1" ht="15" customHeight="1" thickBot="1" x14ac:dyDescent="0.35">
      <c r="A197" s="41"/>
      <c r="B197" s="340" t="s">
        <v>191</v>
      </c>
      <c r="C197" s="341"/>
      <c r="D197" s="341"/>
      <c r="E197" s="342"/>
      <c r="F197" s="81"/>
      <c r="G197" s="346" t="s">
        <v>206</v>
      </c>
      <c r="H197" s="347"/>
      <c r="I197" s="347"/>
      <c r="J197" s="348"/>
      <c r="K197" s="346" t="s">
        <v>0</v>
      </c>
      <c r="L197" s="347"/>
      <c r="M197" s="347"/>
      <c r="N197" s="347"/>
      <c r="O197" s="347"/>
      <c r="P197" s="348"/>
      <c r="Q197" s="346" t="s">
        <v>209</v>
      </c>
      <c r="R197" s="347"/>
      <c r="S197" s="347"/>
      <c r="T197" s="347"/>
      <c r="U197" s="348"/>
      <c r="V197" s="43"/>
    </row>
    <row r="198" spans="1:22" s="2" customFormat="1" ht="7.2" customHeight="1" thickTop="1" thickBot="1" x14ac:dyDescent="0.35"/>
    <row r="199" spans="1:22" ht="7.2" customHeight="1" thickTop="1" x14ac:dyDescent="0.25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1:22" ht="18" x14ac:dyDescent="0.25">
      <c r="A200" s="37"/>
      <c r="C200" s="3"/>
      <c r="D200" s="4"/>
      <c r="E200" s="4"/>
      <c r="F200" s="5"/>
      <c r="G200" s="141" t="s">
        <v>30</v>
      </c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3"/>
      <c r="V200" s="38"/>
    </row>
    <row r="201" spans="1:22" x14ac:dyDescent="0.25">
      <c r="A201" s="37"/>
      <c r="C201" s="6"/>
      <c r="F201" s="7"/>
      <c r="G201" s="271" t="s">
        <v>31</v>
      </c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3"/>
      <c r="V201" s="38"/>
    </row>
    <row r="202" spans="1:22" x14ac:dyDescent="0.25">
      <c r="A202" s="37"/>
      <c r="C202" s="6"/>
      <c r="F202" s="7"/>
      <c r="G202" s="274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6"/>
      <c r="V202" s="38"/>
    </row>
    <row r="203" spans="1:22" ht="14.4" x14ac:dyDescent="0.3">
      <c r="A203" s="37"/>
      <c r="C203" s="8"/>
      <c r="D203" s="9"/>
      <c r="E203" s="9"/>
      <c r="F203" s="10"/>
      <c r="G203" s="144" t="s">
        <v>32</v>
      </c>
      <c r="H203" s="145"/>
      <c r="I203" s="146"/>
      <c r="J203" s="144" t="s">
        <v>33</v>
      </c>
      <c r="K203" s="145"/>
      <c r="L203" s="146"/>
      <c r="M203" s="144" t="s">
        <v>34</v>
      </c>
      <c r="N203" s="145"/>
      <c r="O203" s="145"/>
      <c r="P203" s="146"/>
      <c r="Q203" s="144" t="s">
        <v>299</v>
      </c>
      <c r="R203" s="145"/>
      <c r="S203" s="146"/>
      <c r="V203" s="38"/>
    </row>
    <row r="204" spans="1:22" x14ac:dyDescent="0.25">
      <c r="A204" s="37"/>
      <c r="V204" s="38"/>
    </row>
    <row r="205" spans="1:22" ht="14.4" x14ac:dyDescent="0.3">
      <c r="A205" s="333" t="s">
        <v>275</v>
      </c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5"/>
    </row>
    <row r="206" spans="1:22" x14ac:dyDescent="0.25">
      <c r="A206" s="37"/>
      <c r="B206" s="48"/>
      <c r="C206" s="48"/>
      <c r="D206" s="48"/>
      <c r="E206" s="48"/>
      <c r="F206" s="48"/>
      <c r="G206" s="48"/>
      <c r="H206" s="48"/>
      <c r="I206" s="48"/>
      <c r="J206" s="48"/>
      <c r="L206" s="90"/>
      <c r="M206" s="90"/>
      <c r="N206" s="90"/>
      <c r="O206" s="90"/>
      <c r="P206" s="91"/>
      <c r="Q206" s="91"/>
      <c r="R206" s="91"/>
      <c r="S206" s="91"/>
      <c r="T206" s="91"/>
      <c r="U206" s="91"/>
      <c r="V206" s="38"/>
    </row>
    <row r="207" spans="1:22" ht="14.4" customHeight="1" x14ac:dyDescent="0.3">
      <c r="A207" s="37"/>
      <c r="B207" s="112" t="s">
        <v>276</v>
      </c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38"/>
    </row>
    <row r="208" spans="1:22" ht="14.4" x14ac:dyDescent="0.3">
      <c r="A208" s="37"/>
      <c r="B208" s="362"/>
      <c r="C208" s="362"/>
      <c r="D208" s="362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3"/>
      <c r="U208" s="363"/>
      <c r="V208" s="38"/>
    </row>
    <row r="209" spans="1:22" ht="14.4" x14ac:dyDescent="0.3">
      <c r="A209" s="37"/>
      <c r="B209" s="112" t="s">
        <v>277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38"/>
    </row>
    <row r="210" spans="1:22" ht="14.4" x14ac:dyDescent="0.3">
      <c r="A210" s="37"/>
      <c r="B210" s="92"/>
      <c r="C210" s="2"/>
      <c r="D210" s="2"/>
      <c r="E210" s="2"/>
      <c r="F210" s="2"/>
      <c r="G210" s="2"/>
      <c r="H210" s="2"/>
      <c r="I210" s="2"/>
      <c r="J210" s="2"/>
      <c r="L210" s="90"/>
      <c r="M210" s="90"/>
      <c r="N210" s="90"/>
      <c r="O210" s="90"/>
      <c r="P210" s="91"/>
      <c r="Q210" s="91"/>
      <c r="R210" s="91"/>
      <c r="S210" s="91"/>
      <c r="T210" s="91"/>
      <c r="U210" s="91"/>
      <c r="V210" s="38"/>
    </row>
    <row r="211" spans="1:22" ht="14.4" x14ac:dyDescent="0.3">
      <c r="A211" s="37"/>
      <c r="B211" s="136" t="s">
        <v>288</v>
      </c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38"/>
    </row>
    <row r="212" spans="1:22" x14ac:dyDescent="0.25">
      <c r="A212" s="37"/>
      <c r="V212" s="38"/>
    </row>
    <row r="213" spans="1:22" ht="14.4" x14ac:dyDescent="0.3">
      <c r="A213" s="37"/>
      <c r="B213" s="136" t="s">
        <v>278</v>
      </c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38"/>
    </row>
    <row r="214" spans="1:22" ht="14.4" x14ac:dyDescent="0.3">
      <c r="A214" s="37"/>
      <c r="B214" s="136" t="s">
        <v>279</v>
      </c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38"/>
    </row>
    <row r="215" spans="1:22" x14ac:dyDescent="0.25">
      <c r="A215" s="37"/>
      <c r="V215" s="38"/>
    </row>
    <row r="216" spans="1:22" ht="14.4" x14ac:dyDescent="0.3">
      <c r="A216" s="37"/>
      <c r="B216" s="112" t="s">
        <v>280</v>
      </c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38"/>
    </row>
    <row r="217" spans="1:22" ht="14.4" x14ac:dyDescent="0.3">
      <c r="A217" s="37"/>
      <c r="B217" s="112" t="s">
        <v>281</v>
      </c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38"/>
    </row>
    <row r="218" spans="1:22" x14ac:dyDescent="0.25">
      <c r="A218" s="37"/>
      <c r="V218" s="38"/>
    </row>
    <row r="219" spans="1:22" ht="14.4" x14ac:dyDescent="0.3">
      <c r="A219" s="37"/>
      <c r="B219" s="112" t="s">
        <v>282</v>
      </c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38"/>
    </row>
    <row r="220" spans="1:22" ht="14.4" x14ac:dyDescent="0.3">
      <c r="A220" s="37"/>
      <c r="B220" s="112" t="s">
        <v>283</v>
      </c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38"/>
    </row>
    <row r="221" spans="1:22" x14ac:dyDescent="0.25">
      <c r="A221" s="37"/>
      <c r="V221" s="38"/>
    </row>
    <row r="222" spans="1:22" ht="14.4" x14ac:dyDescent="0.3">
      <c r="A222" s="37"/>
      <c r="B222" s="112" t="s">
        <v>284</v>
      </c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38"/>
    </row>
    <row r="223" spans="1:22" x14ac:dyDescent="0.25">
      <c r="A223" s="37"/>
      <c r="V223" s="38"/>
    </row>
    <row r="224" spans="1:22" ht="14.4" x14ac:dyDescent="0.3">
      <c r="A224" s="37"/>
      <c r="B224" s="112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38"/>
    </row>
    <row r="225" spans="1:22" ht="14.4" thickBot="1" x14ac:dyDescent="0.3">
      <c r="A225" s="37"/>
      <c r="V225" s="38"/>
    </row>
    <row r="226" spans="1:22" ht="14.4" thickBot="1" x14ac:dyDescent="0.3">
      <c r="A226" s="37"/>
      <c r="B226" s="1" t="s">
        <v>285</v>
      </c>
      <c r="G226" s="1" t="s">
        <v>286</v>
      </c>
      <c r="H226" s="94"/>
      <c r="J226" s="1" t="s">
        <v>287</v>
      </c>
      <c r="K226" s="114"/>
      <c r="L226" s="115"/>
      <c r="V226" s="38"/>
    </row>
    <row r="227" spans="1:22" x14ac:dyDescent="0.25">
      <c r="A227" s="37"/>
      <c r="V227" s="38"/>
    </row>
    <row r="228" spans="1:22" ht="14.4" thickBot="1" x14ac:dyDescent="0.3">
      <c r="A228" s="37"/>
      <c r="V228" s="38"/>
    </row>
    <row r="229" spans="1:22" ht="14.4" thickTop="1" x14ac:dyDescent="0.25">
      <c r="A229" s="37"/>
      <c r="B229" s="116" t="s">
        <v>258</v>
      </c>
      <c r="C229" s="117"/>
      <c r="D229" s="117"/>
      <c r="E229" s="117"/>
      <c r="F229" s="117"/>
      <c r="G229" s="117"/>
      <c r="H229" s="117"/>
      <c r="I229" s="117"/>
      <c r="J229" s="117"/>
      <c r="K229" s="35"/>
      <c r="L229" s="118" t="s">
        <v>257</v>
      </c>
      <c r="M229" s="119"/>
      <c r="N229" s="119"/>
      <c r="O229" s="120"/>
      <c r="P229" s="127"/>
      <c r="Q229" s="127"/>
      <c r="R229" s="127"/>
      <c r="S229" s="127"/>
      <c r="T229" s="127"/>
      <c r="U229" s="128"/>
      <c r="V229" s="38"/>
    </row>
    <row r="230" spans="1:22" x14ac:dyDescent="0.25">
      <c r="A230" s="37"/>
      <c r="B230" s="131" t="s">
        <v>259</v>
      </c>
      <c r="C230" s="132"/>
      <c r="D230" s="132"/>
      <c r="E230" s="132"/>
      <c r="F230" s="132"/>
      <c r="G230" s="132"/>
      <c r="H230" s="132"/>
      <c r="I230" s="132"/>
      <c r="J230" s="132"/>
      <c r="L230" s="121"/>
      <c r="M230" s="122"/>
      <c r="N230" s="122"/>
      <c r="O230" s="123"/>
      <c r="P230" s="129"/>
      <c r="Q230" s="129"/>
      <c r="R230" s="129"/>
      <c r="S230" s="129"/>
      <c r="T230" s="129"/>
      <c r="U230" s="130"/>
      <c r="V230" s="38"/>
    </row>
    <row r="231" spans="1:22" x14ac:dyDescent="0.25">
      <c r="A231" s="37"/>
      <c r="B231" s="131" t="s">
        <v>260</v>
      </c>
      <c r="C231" s="132"/>
      <c r="D231" s="132"/>
      <c r="E231" s="132"/>
      <c r="F231" s="132"/>
      <c r="G231" s="132"/>
      <c r="H231" s="132"/>
      <c r="I231" s="132"/>
      <c r="J231" s="132"/>
      <c r="L231" s="121"/>
      <c r="M231" s="122"/>
      <c r="N231" s="122"/>
      <c r="O231" s="123"/>
      <c r="P231" s="129"/>
      <c r="Q231" s="129"/>
      <c r="R231" s="129"/>
      <c r="S231" s="129"/>
      <c r="T231" s="129"/>
      <c r="U231" s="130"/>
      <c r="V231" s="38"/>
    </row>
    <row r="232" spans="1:22" x14ac:dyDescent="0.25">
      <c r="A232" s="37"/>
      <c r="B232" s="131" t="s">
        <v>261</v>
      </c>
      <c r="C232" s="132"/>
      <c r="D232" s="132"/>
      <c r="E232" s="132"/>
      <c r="F232" s="132"/>
      <c r="G232" s="132"/>
      <c r="H232" s="132"/>
      <c r="I232" s="132"/>
      <c r="J232" s="132"/>
      <c r="L232" s="121"/>
      <c r="M232" s="122"/>
      <c r="N232" s="122"/>
      <c r="O232" s="123"/>
      <c r="P232" s="129"/>
      <c r="Q232" s="129"/>
      <c r="R232" s="129"/>
      <c r="S232" s="129"/>
      <c r="T232" s="129"/>
      <c r="U232" s="130"/>
      <c r="V232" s="38"/>
    </row>
    <row r="233" spans="1:22" x14ac:dyDescent="0.25">
      <c r="A233" s="37"/>
      <c r="B233" s="133" t="s">
        <v>262</v>
      </c>
      <c r="C233" s="134"/>
      <c r="D233" s="134"/>
      <c r="E233" s="134"/>
      <c r="F233" s="134"/>
      <c r="G233" s="134"/>
      <c r="H233" s="134"/>
      <c r="I233" s="134"/>
      <c r="J233" s="134"/>
      <c r="L233" s="121"/>
      <c r="M233" s="122"/>
      <c r="N233" s="122"/>
      <c r="O233" s="123"/>
      <c r="P233" s="129"/>
      <c r="Q233" s="129"/>
      <c r="R233" s="129"/>
      <c r="S233" s="129"/>
      <c r="T233" s="129"/>
      <c r="U233" s="130"/>
      <c r="V233" s="38"/>
    </row>
    <row r="234" spans="1:22" x14ac:dyDescent="0.25">
      <c r="A234" s="37"/>
      <c r="B234" s="37"/>
      <c r="L234" s="121"/>
      <c r="M234" s="122"/>
      <c r="N234" s="122"/>
      <c r="O234" s="123"/>
      <c r="P234" s="129"/>
      <c r="Q234" s="129"/>
      <c r="R234" s="129"/>
      <c r="S234" s="129"/>
      <c r="T234" s="129"/>
      <c r="U234" s="130"/>
      <c r="V234" s="38"/>
    </row>
    <row r="235" spans="1:22" ht="15" thickBot="1" x14ac:dyDescent="0.35">
      <c r="A235" s="37"/>
      <c r="B235" s="65" t="s">
        <v>263</v>
      </c>
      <c r="C235" s="135"/>
      <c r="D235" s="135"/>
      <c r="E235" s="135"/>
      <c r="F235" s="135"/>
      <c r="G235" s="135"/>
      <c r="H235" s="135"/>
      <c r="I235" s="135"/>
      <c r="J235" s="135"/>
      <c r="L235" s="124"/>
      <c r="M235" s="125"/>
      <c r="N235" s="125"/>
      <c r="O235" s="126"/>
      <c r="P235" s="129"/>
      <c r="Q235" s="129"/>
      <c r="R235" s="129"/>
      <c r="S235" s="129"/>
      <c r="T235" s="129"/>
      <c r="U235" s="130"/>
      <c r="V235" s="38"/>
    </row>
    <row r="236" spans="1:22" ht="15.6" thickTop="1" thickBot="1" x14ac:dyDescent="0.35">
      <c r="A236" s="37"/>
      <c r="B236" s="65" t="s">
        <v>264</v>
      </c>
      <c r="C236" s="107"/>
      <c r="D236" s="107"/>
      <c r="E236" s="107"/>
      <c r="F236" s="107"/>
      <c r="G236" s="70" t="s">
        <v>265</v>
      </c>
      <c r="H236" s="108"/>
      <c r="I236" s="108"/>
      <c r="J236" s="108"/>
      <c r="P236" s="109" t="s">
        <v>256</v>
      </c>
      <c r="Q236" s="110"/>
      <c r="R236" s="110"/>
      <c r="S236" s="110"/>
      <c r="T236" s="110"/>
      <c r="U236" s="111"/>
      <c r="V236" s="38"/>
    </row>
    <row r="237" spans="1:22" ht="15" thickTop="1" thickBot="1" x14ac:dyDescent="0.3">
      <c r="A237" s="37"/>
      <c r="B237" s="62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4"/>
      <c r="V237" s="38"/>
    </row>
    <row r="238" spans="1:22" ht="14.4" thickTop="1" x14ac:dyDescent="0.25">
      <c r="A238" s="37"/>
      <c r="V238" s="38"/>
    </row>
    <row r="239" spans="1:22" x14ac:dyDescent="0.25">
      <c r="A239" s="37"/>
      <c r="V239" s="38"/>
    </row>
    <row r="240" spans="1:22" x14ac:dyDescent="0.25">
      <c r="A240" s="37"/>
      <c r="G240" s="104"/>
      <c r="V240" s="38"/>
    </row>
    <row r="241" spans="1:22" x14ac:dyDescent="0.25">
      <c r="A241" s="37"/>
      <c r="V241" s="38"/>
    </row>
    <row r="242" spans="1:22" x14ac:dyDescent="0.25">
      <c r="A242" s="37"/>
      <c r="V242" s="38"/>
    </row>
    <row r="243" spans="1:22" x14ac:dyDescent="0.25">
      <c r="A243" s="37"/>
      <c r="V243" s="38"/>
    </row>
    <row r="244" spans="1:22" x14ac:dyDescent="0.25">
      <c r="A244" s="37"/>
      <c r="V244" s="38"/>
    </row>
    <row r="245" spans="1:22" x14ac:dyDescent="0.25">
      <c r="A245" s="37"/>
      <c r="B245" s="48"/>
      <c r="C245" s="48"/>
      <c r="D245" s="48"/>
      <c r="E245" s="48"/>
      <c r="F245" s="48"/>
      <c r="G245" s="48"/>
      <c r="H245" s="48"/>
      <c r="I245" s="48"/>
      <c r="J245" s="48"/>
      <c r="L245" s="90"/>
      <c r="M245" s="90"/>
      <c r="N245" s="90"/>
      <c r="O245" s="90"/>
      <c r="P245" s="91"/>
      <c r="Q245" s="91"/>
      <c r="R245" s="91"/>
      <c r="S245" s="91"/>
      <c r="T245" s="91"/>
      <c r="U245" s="91"/>
      <c r="V245" s="38"/>
    </row>
    <row r="246" spans="1:22" x14ac:dyDescent="0.25">
      <c r="A246" s="37"/>
      <c r="B246" s="48"/>
      <c r="C246" s="48"/>
      <c r="D246" s="48"/>
      <c r="E246" s="48"/>
      <c r="F246" s="48"/>
      <c r="G246" s="48"/>
      <c r="H246" s="48"/>
      <c r="I246" s="48"/>
      <c r="J246" s="48"/>
      <c r="L246" s="90"/>
      <c r="M246" s="90"/>
      <c r="N246" s="90"/>
      <c r="O246" s="90"/>
      <c r="P246" s="91"/>
      <c r="Q246" s="91"/>
      <c r="R246" s="91"/>
      <c r="S246" s="91"/>
      <c r="T246" s="91"/>
      <c r="U246" s="91"/>
      <c r="V246" s="38"/>
    </row>
    <row r="247" spans="1:22" x14ac:dyDescent="0.25">
      <c r="A247" s="37"/>
      <c r="B247" s="48"/>
      <c r="C247" s="48"/>
      <c r="D247" s="48"/>
      <c r="E247" s="48"/>
      <c r="F247" s="48"/>
      <c r="G247" s="48"/>
      <c r="H247" s="48"/>
      <c r="I247" s="48"/>
      <c r="J247" s="48"/>
      <c r="L247" s="90"/>
      <c r="M247" s="90"/>
      <c r="N247" s="90"/>
      <c r="O247" s="90"/>
      <c r="P247" s="91"/>
      <c r="Q247" s="91"/>
      <c r="R247" s="91"/>
      <c r="S247" s="91"/>
      <c r="T247" s="91"/>
      <c r="U247" s="91"/>
      <c r="V247" s="38"/>
    </row>
    <row r="248" spans="1:22" x14ac:dyDescent="0.25">
      <c r="A248" s="37"/>
      <c r="B248" s="48"/>
      <c r="C248" s="48"/>
      <c r="D248" s="48"/>
      <c r="E248" s="48"/>
      <c r="F248" s="48"/>
      <c r="G248" s="48"/>
      <c r="H248" s="48"/>
      <c r="I248" s="48"/>
      <c r="J248" s="48"/>
      <c r="L248" s="90"/>
      <c r="M248" s="90"/>
      <c r="N248" s="90"/>
      <c r="O248" s="90"/>
      <c r="P248" s="91"/>
      <c r="Q248" s="91"/>
      <c r="R248" s="91"/>
      <c r="S248" s="91"/>
      <c r="T248" s="91"/>
      <c r="U248" s="91"/>
      <c r="V248" s="38"/>
    </row>
    <row r="249" spans="1:22" x14ac:dyDescent="0.25">
      <c r="A249" s="37"/>
      <c r="B249" s="48"/>
      <c r="C249" s="48"/>
      <c r="D249" s="48"/>
      <c r="E249" s="48"/>
      <c r="F249" s="48"/>
      <c r="G249" s="48"/>
      <c r="H249" s="48"/>
      <c r="I249" s="48"/>
      <c r="J249" s="48"/>
      <c r="L249" s="90"/>
      <c r="M249" s="90"/>
      <c r="N249" s="90"/>
      <c r="O249" s="90"/>
      <c r="P249" s="91"/>
      <c r="Q249" s="91"/>
      <c r="R249" s="91"/>
      <c r="S249" s="91"/>
      <c r="T249" s="91"/>
      <c r="U249" s="91"/>
      <c r="V249" s="38"/>
    </row>
    <row r="250" spans="1:22" x14ac:dyDescent="0.25">
      <c r="A250" s="37"/>
      <c r="L250" s="90"/>
      <c r="M250" s="90"/>
      <c r="N250" s="90"/>
      <c r="O250" s="90"/>
      <c r="P250" s="91"/>
      <c r="Q250" s="91"/>
      <c r="R250" s="91"/>
      <c r="S250" s="91"/>
      <c r="T250" s="91"/>
      <c r="U250" s="91"/>
      <c r="V250" s="38"/>
    </row>
    <row r="251" spans="1:22" ht="14.4" x14ac:dyDescent="0.3">
      <c r="A251" s="37"/>
      <c r="B251" s="92"/>
      <c r="C251" s="2"/>
      <c r="D251" s="2"/>
      <c r="E251" s="2"/>
      <c r="F251" s="2"/>
      <c r="G251" s="2"/>
      <c r="H251" s="2"/>
      <c r="I251" s="2"/>
      <c r="J251" s="2"/>
      <c r="L251" s="90"/>
      <c r="M251" s="90"/>
      <c r="N251" s="90"/>
      <c r="O251" s="90"/>
      <c r="P251" s="91"/>
      <c r="Q251" s="91"/>
      <c r="R251" s="91"/>
      <c r="S251" s="91"/>
      <c r="T251" s="91"/>
      <c r="U251" s="91"/>
      <c r="V251" s="38"/>
    </row>
    <row r="252" spans="1:22" ht="14.4" x14ac:dyDescent="0.3">
      <c r="A252" s="37"/>
      <c r="B252" s="92"/>
      <c r="C252" s="2"/>
      <c r="D252" s="2"/>
      <c r="E252" s="2"/>
      <c r="F252" s="2"/>
      <c r="G252" s="2"/>
      <c r="P252" s="93"/>
      <c r="Q252" s="93"/>
      <c r="R252" s="93"/>
      <c r="S252" s="93"/>
      <c r="T252" s="93"/>
      <c r="U252" s="93"/>
      <c r="V252" s="38"/>
    </row>
    <row r="253" spans="1:22" x14ac:dyDescent="0.25">
      <c r="A253" s="37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38"/>
    </row>
    <row r="254" spans="1:22" x14ac:dyDescent="0.25">
      <c r="A254" s="37"/>
      <c r="V254" s="38"/>
    </row>
    <row r="255" spans="1:22" x14ac:dyDescent="0.25">
      <c r="A255" s="37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38"/>
    </row>
    <row r="256" spans="1:22" x14ac:dyDescent="0.25">
      <c r="A256" s="37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38"/>
    </row>
    <row r="257" spans="1:22" x14ac:dyDescent="0.25">
      <c r="A257" s="37"/>
      <c r="V257" s="38"/>
    </row>
    <row r="258" spans="1:22" x14ac:dyDescent="0.25">
      <c r="A258" s="37"/>
      <c r="V258" s="38"/>
    </row>
    <row r="259" spans="1:22" x14ac:dyDescent="0.25">
      <c r="A259" s="37"/>
      <c r="V259" s="38"/>
    </row>
    <row r="260" spans="1:22" x14ac:dyDescent="0.25">
      <c r="A260" s="37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38"/>
    </row>
    <row r="261" spans="1:22" ht="14.4" thickBot="1" x14ac:dyDescent="0.3">
      <c r="A261" s="62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4"/>
    </row>
    <row r="262" spans="1:22" ht="14.4" thickTop="1" x14ac:dyDescent="0.25"/>
    <row r="331" spans="2:2" x14ac:dyDescent="0.25">
      <c r="B331" s="104"/>
    </row>
  </sheetData>
  <sheetProtection algorithmName="SHA-512" hashValue="wWm6sqic5xnh9vKoy99/Wnb3fTWv0ZrarfShKjB2kSqueiy4Jq8dfdxyIuouhmBQ4EpYGI5+rjI/byxFdMwgTg==" saltValue="KZfV2FNcMpRrVPsTwweP/Q==" spinCount="100000" sheet="1" objects="1" scenarios="1"/>
  <mergeCells count="287">
    <mergeCell ref="M195:Q195"/>
    <mergeCell ref="G194:J194"/>
    <mergeCell ref="K194:Q194"/>
    <mergeCell ref="A205:V205"/>
    <mergeCell ref="B207:U207"/>
    <mergeCell ref="B208:S208"/>
    <mergeCell ref="T208:U208"/>
    <mergeCell ref="G200:S200"/>
    <mergeCell ref="G201:S202"/>
    <mergeCell ref="G203:I203"/>
    <mergeCell ref="J203:L203"/>
    <mergeCell ref="M203:P203"/>
    <mergeCell ref="Q203:S203"/>
    <mergeCell ref="B183:U183"/>
    <mergeCell ref="B185:U185"/>
    <mergeCell ref="B186:U186"/>
    <mergeCell ref="B194:E194"/>
    <mergeCell ref="B195:E195"/>
    <mergeCell ref="B196:E196"/>
    <mergeCell ref="B197:E197"/>
    <mergeCell ref="G196:J196"/>
    <mergeCell ref="G197:J197"/>
    <mergeCell ref="K196:P196"/>
    <mergeCell ref="K197:P197"/>
    <mergeCell ref="B187:U187"/>
    <mergeCell ref="H189:I189"/>
    <mergeCell ref="B189:G189"/>
    <mergeCell ref="K189:M189"/>
    <mergeCell ref="P189:Q189"/>
    <mergeCell ref="B191:F191"/>
    <mergeCell ref="B192:E192"/>
    <mergeCell ref="B193:E193"/>
    <mergeCell ref="Q196:U196"/>
    <mergeCell ref="Q197:U197"/>
    <mergeCell ref="H195:J195"/>
    <mergeCell ref="R194:U194"/>
    <mergeCell ref="T195:U195"/>
    <mergeCell ref="B172:U172"/>
    <mergeCell ref="B173:U173"/>
    <mergeCell ref="B175:U175"/>
    <mergeCell ref="B176:U176"/>
    <mergeCell ref="B178:U178"/>
    <mergeCell ref="B179:U179"/>
    <mergeCell ref="B180:U180"/>
    <mergeCell ref="B181:U181"/>
    <mergeCell ref="B182:U182"/>
    <mergeCell ref="B160:U160"/>
    <mergeCell ref="B161:U161"/>
    <mergeCell ref="B162:U162"/>
    <mergeCell ref="B164:U164"/>
    <mergeCell ref="B166:U166"/>
    <mergeCell ref="B167:U167"/>
    <mergeCell ref="B168:U168"/>
    <mergeCell ref="B169:U169"/>
    <mergeCell ref="B170:U170"/>
    <mergeCell ref="B148:U148"/>
    <mergeCell ref="B149:U149"/>
    <mergeCell ref="B150:U150"/>
    <mergeCell ref="B151:U151"/>
    <mergeCell ref="B153:U153"/>
    <mergeCell ref="B154:U154"/>
    <mergeCell ref="B155:U155"/>
    <mergeCell ref="B157:U157"/>
    <mergeCell ref="B158:U158"/>
    <mergeCell ref="B138:U138"/>
    <mergeCell ref="B139:U139"/>
    <mergeCell ref="B140:U140"/>
    <mergeCell ref="B141:U141"/>
    <mergeCell ref="B143:U143"/>
    <mergeCell ref="B144:U144"/>
    <mergeCell ref="B145:U145"/>
    <mergeCell ref="B146:U146"/>
    <mergeCell ref="B147:U147"/>
    <mergeCell ref="B86:U86"/>
    <mergeCell ref="B87:U87"/>
    <mergeCell ref="B88:U88"/>
    <mergeCell ref="M108:N108"/>
    <mergeCell ref="P108:Q108"/>
    <mergeCell ref="G134:S135"/>
    <mergeCell ref="G136:I136"/>
    <mergeCell ref="J136:L136"/>
    <mergeCell ref="M136:P136"/>
    <mergeCell ref="Q136:S136"/>
    <mergeCell ref="B89:U89"/>
    <mergeCell ref="B90:U90"/>
    <mergeCell ref="B94:U94"/>
    <mergeCell ref="B91:U91"/>
    <mergeCell ref="B92:U92"/>
    <mergeCell ref="B93:U93"/>
    <mergeCell ref="D109:E109"/>
    <mergeCell ref="G114:O114"/>
    <mergeCell ref="Q114:T114"/>
    <mergeCell ref="B102:U102"/>
    <mergeCell ref="B103:U103"/>
    <mergeCell ref="B104:U104"/>
    <mergeCell ref="B105:U105"/>
    <mergeCell ref="B106:U106"/>
    <mergeCell ref="K28:M30"/>
    <mergeCell ref="C26:I26"/>
    <mergeCell ref="K26:N26"/>
    <mergeCell ref="O26:Q26"/>
    <mergeCell ref="H17:I17"/>
    <mergeCell ref="G133:S133"/>
    <mergeCell ref="G66:S66"/>
    <mergeCell ref="G67:S68"/>
    <mergeCell ref="G69:I69"/>
    <mergeCell ref="J69:L69"/>
    <mergeCell ref="M69:P69"/>
    <mergeCell ref="Q69:S69"/>
    <mergeCell ref="B82:U82"/>
    <mergeCell ref="B83:U83"/>
    <mergeCell ref="B84:U84"/>
    <mergeCell ref="T76:U76"/>
    <mergeCell ref="N75:U75"/>
    <mergeCell ref="B77:U77"/>
    <mergeCell ref="B78:U78"/>
    <mergeCell ref="B79:U79"/>
    <mergeCell ref="B81:U81"/>
    <mergeCell ref="A71:V71"/>
    <mergeCell ref="H75:M75"/>
    <mergeCell ref="F76:J76"/>
    <mergeCell ref="H32:I32"/>
    <mergeCell ref="K32:L32"/>
    <mergeCell ref="N32:U32"/>
    <mergeCell ref="K55:U55"/>
    <mergeCell ref="H12:K12"/>
    <mergeCell ref="O12:U12"/>
    <mergeCell ref="R13:T13"/>
    <mergeCell ref="K56:U56"/>
    <mergeCell ref="J14:K14"/>
    <mergeCell ref="H15:L15"/>
    <mergeCell ref="C52:I52"/>
    <mergeCell ref="I51:P51"/>
    <mergeCell ref="Q51:U51"/>
    <mergeCell ref="K45:U45"/>
    <mergeCell ref="K52:U52"/>
    <mergeCell ref="C46:I46"/>
    <mergeCell ref="K46:U46"/>
    <mergeCell ref="C45:I45"/>
    <mergeCell ref="C48:U49"/>
    <mergeCell ref="L17:M17"/>
    <mergeCell ref="O17:P17"/>
    <mergeCell ref="R17:U17"/>
    <mergeCell ref="C28:J30"/>
    <mergeCell ref="N28:U30"/>
    <mergeCell ref="B55:B57"/>
    <mergeCell ref="F51:H51"/>
    <mergeCell ref="I44:P44"/>
    <mergeCell ref="Q44:U44"/>
    <mergeCell ref="F15:G15"/>
    <mergeCell ref="M15:O15"/>
    <mergeCell ref="H16:I16"/>
    <mergeCell ref="G3:S4"/>
    <mergeCell ref="C53:I53"/>
    <mergeCell ref="K53:U53"/>
    <mergeCell ref="C55:J55"/>
    <mergeCell ref="C56:J56"/>
    <mergeCell ref="Q37:U37"/>
    <mergeCell ref="C38:I38"/>
    <mergeCell ref="K38:U38"/>
    <mergeCell ref="C39:I39"/>
    <mergeCell ref="K39:U39"/>
    <mergeCell ref="C27:J27"/>
    <mergeCell ref="K27:L27"/>
    <mergeCell ref="M27:U27"/>
    <mergeCell ref="H31:I31"/>
    <mergeCell ref="K31:L31"/>
    <mergeCell ref="N31:U31"/>
    <mergeCell ref="C32:E32"/>
    <mergeCell ref="I43:P43"/>
    <mergeCell ref="Q43:U43"/>
    <mergeCell ref="C44:E44"/>
    <mergeCell ref="C51:E51"/>
    <mergeCell ref="I50:P50"/>
    <mergeCell ref="Q50:U50"/>
    <mergeCell ref="F44:H44"/>
    <mergeCell ref="C58:I58"/>
    <mergeCell ref="C59:I59"/>
    <mergeCell ref="K58:U58"/>
    <mergeCell ref="K59:U59"/>
    <mergeCell ref="J58:J59"/>
    <mergeCell ref="K57:U57"/>
    <mergeCell ref="C57:J57"/>
    <mergeCell ref="J17:K17"/>
    <mergeCell ref="J16:K16"/>
    <mergeCell ref="C23:J23"/>
    <mergeCell ref="B7:D16"/>
    <mergeCell ref="R7:U7"/>
    <mergeCell ref="T8:U8"/>
    <mergeCell ref="T9:U9"/>
    <mergeCell ref="F7:P7"/>
    <mergeCell ref="F8:P8"/>
    <mergeCell ref="F9:P9"/>
    <mergeCell ref="F10:P10"/>
    <mergeCell ref="F12:G12"/>
    <mergeCell ref="G13:H13"/>
    <mergeCell ref="R26:U26"/>
    <mergeCell ref="T22:U22"/>
    <mergeCell ref="F22:H22"/>
    <mergeCell ref="I22:N22"/>
    <mergeCell ref="P22:Q22"/>
    <mergeCell ref="R22:S22"/>
    <mergeCell ref="L76:S76"/>
    <mergeCell ref="B73:U73"/>
    <mergeCell ref="B74:U74"/>
    <mergeCell ref="C41:U42"/>
    <mergeCell ref="C36:H36"/>
    <mergeCell ref="F37:H37"/>
    <mergeCell ref="O23:U23"/>
    <mergeCell ref="K23:N23"/>
    <mergeCell ref="B31:B32"/>
    <mergeCell ref="C37:E37"/>
    <mergeCell ref="I36:P36"/>
    <mergeCell ref="Q36:U36"/>
    <mergeCell ref="C34:U35"/>
    <mergeCell ref="I37:P37"/>
    <mergeCell ref="C31:E31"/>
    <mergeCell ref="B58:B59"/>
    <mergeCell ref="C43:H43"/>
    <mergeCell ref="C50:H50"/>
    <mergeCell ref="G2:S2"/>
    <mergeCell ref="G5:I5"/>
    <mergeCell ref="J5:L5"/>
    <mergeCell ref="M5:P5"/>
    <mergeCell ref="Q5:S5"/>
    <mergeCell ref="C24:N25"/>
    <mergeCell ref="O24:Q24"/>
    <mergeCell ref="O25:Q25"/>
    <mergeCell ref="R24:U25"/>
    <mergeCell ref="L12:N12"/>
    <mergeCell ref="L16:Q16"/>
    <mergeCell ref="C19:U20"/>
    <mergeCell ref="F21:H21"/>
    <mergeCell ref="I21:N21"/>
    <mergeCell ref="P21:Q21"/>
    <mergeCell ref="R21:S21"/>
    <mergeCell ref="T21:U21"/>
    <mergeCell ref="M13:P13"/>
    <mergeCell ref="M14:P14"/>
    <mergeCell ref="R14:T14"/>
    <mergeCell ref="J13:K13"/>
    <mergeCell ref="G14:I14"/>
    <mergeCell ref="R16:U16"/>
    <mergeCell ref="P15:U15"/>
    <mergeCell ref="B96:U96"/>
    <mergeCell ref="B97:U97"/>
    <mergeCell ref="B98:U98"/>
    <mergeCell ref="B99:U99"/>
    <mergeCell ref="B101:U101"/>
    <mergeCell ref="L115:Q115"/>
    <mergeCell ref="S115:T115"/>
    <mergeCell ref="B111:U111"/>
    <mergeCell ref="B112:U112"/>
    <mergeCell ref="B130:U130"/>
    <mergeCell ref="B118:U118"/>
    <mergeCell ref="B119:U119"/>
    <mergeCell ref="B120:U120"/>
    <mergeCell ref="B121:U121"/>
    <mergeCell ref="B122:U122"/>
    <mergeCell ref="B123:U123"/>
    <mergeCell ref="B125:U125"/>
    <mergeCell ref="B128:U128"/>
    <mergeCell ref="B129:U129"/>
    <mergeCell ref="B126:E126"/>
    <mergeCell ref="G126:U126"/>
    <mergeCell ref="B209:U209"/>
    <mergeCell ref="B211:U211"/>
    <mergeCell ref="B213:U213"/>
    <mergeCell ref="B214:U214"/>
    <mergeCell ref="B216:U216"/>
    <mergeCell ref="B217:U217"/>
    <mergeCell ref="B219:U219"/>
    <mergeCell ref="B220:U220"/>
    <mergeCell ref="B222:U222"/>
    <mergeCell ref="C236:F236"/>
    <mergeCell ref="H236:J236"/>
    <mergeCell ref="P236:U236"/>
    <mergeCell ref="B224:U224"/>
    <mergeCell ref="K226:L226"/>
    <mergeCell ref="B229:J229"/>
    <mergeCell ref="L229:O235"/>
    <mergeCell ref="P229:U235"/>
    <mergeCell ref="B230:J230"/>
    <mergeCell ref="B231:J231"/>
    <mergeCell ref="B232:J232"/>
    <mergeCell ref="B233:J233"/>
    <mergeCell ref="C235:J235"/>
  </mergeCells>
  <pageMargins left="0" right="0" top="0" bottom="0" header="0" footer="0"/>
  <pageSetup scale="83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D9F669-73AE-4D08-A450-A5C6EB456E71}">
          <x14:formula1>
            <xm:f>Colores!$Z$1:$Z$2</xm:f>
          </x14:formula1>
          <xm:sqref>T22:U22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5776-5B49-48EF-ACBE-B2CCF1FD8435}">
  <dimension ref="A1:V129"/>
  <sheetViews>
    <sheetView showGridLines="0" workbookViewId="0">
      <selection activeCell="D11" sqref="D11:G11"/>
    </sheetView>
  </sheetViews>
  <sheetFormatPr baseColWidth="10" defaultRowHeight="13.8" x14ac:dyDescent="0.25"/>
  <cols>
    <col min="1" max="1" width="1.77734375" style="1" customWidth="1"/>
    <col min="2" max="2" width="12.88671875" style="1" bestFit="1" customWidth="1"/>
    <col min="3" max="5" width="3.44140625" style="1" customWidth="1"/>
    <col min="6" max="7" width="11.5546875" style="1"/>
    <col min="8" max="8" width="5.6640625" style="1" customWidth="1"/>
    <col min="9" max="9" width="4.109375" style="1" customWidth="1"/>
    <col min="10" max="10" width="11.5546875" style="1"/>
    <col min="11" max="11" width="3.21875" style="1" customWidth="1"/>
    <col min="12" max="12" width="4.109375" style="1" customWidth="1"/>
    <col min="13" max="13" width="5.44140625" style="1" customWidth="1"/>
    <col min="14" max="14" width="4.109375" style="1" customWidth="1"/>
    <col min="15" max="15" width="7.21875" style="1" customWidth="1"/>
    <col min="16" max="16" width="2.77734375" style="1" customWidth="1"/>
    <col min="17" max="17" width="4.109375" style="1" customWidth="1"/>
    <col min="18" max="20" width="5.21875" style="1" customWidth="1"/>
    <col min="21" max="21" width="4.109375" style="1" customWidth="1"/>
    <col min="22" max="22" width="1.77734375" style="1" customWidth="1"/>
    <col min="23" max="16384" width="11.5546875" style="1"/>
  </cols>
  <sheetData>
    <row r="1" spans="1:22" s="2" customFormat="1" ht="7.2" customHeight="1" thickTop="1" x14ac:dyDescent="0.3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</row>
    <row r="2" spans="1:22" s="2" customFormat="1" ht="18" x14ac:dyDescent="0.3">
      <c r="A2" s="40"/>
      <c r="C2" s="3"/>
      <c r="D2" s="4"/>
      <c r="E2" s="4"/>
      <c r="F2" s="5"/>
      <c r="G2" s="141" t="s">
        <v>30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9"/>
    </row>
    <row r="3" spans="1:22" s="2" customFormat="1" ht="14.4" x14ac:dyDescent="0.3">
      <c r="A3" s="40"/>
      <c r="C3" s="6"/>
      <c r="D3" s="1"/>
      <c r="E3" s="1"/>
      <c r="F3" s="7"/>
      <c r="G3" s="271" t="s">
        <v>31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9"/>
    </row>
    <row r="4" spans="1:22" x14ac:dyDescent="0.25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2" ht="14.4" x14ac:dyDescent="0.3">
      <c r="A5" s="37"/>
      <c r="C5" s="8"/>
      <c r="D5" s="9"/>
      <c r="E5" s="9"/>
      <c r="F5" s="10"/>
      <c r="G5" s="144" t="s">
        <v>32</v>
      </c>
      <c r="H5" s="145"/>
      <c r="I5" s="146"/>
      <c r="J5" s="144" t="s">
        <v>33</v>
      </c>
      <c r="K5" s="145"/>
      <c r="L5" s="146"/>
      <c r="M5" s="144" t="s">
        <v>34</v>
      </c>
      <c r="N5" s="145"/>
      <c r="O5" s="145"/>
      <c r="P5" s="146"/>
      <c r="Q5" s="144" t="s">
        <v>303</v>
      </c>
      <c r="R5" s="145"/>
      <c r="S5" s="146"/>
      <c r="V5" s="38"/>
    </row>
    <row r="6" spans="1:22" ht="14.4" thickBot="1" x14ac:dyDescent="0.3">
      <c r="A6" s="37"/>
      <c r="V6" s="38"/>
    </row>
    <row r="7" spans="1:22" ht="16.2" thickTop="1" x14ac:dyDescent="0.3">
      <c r="A7" s="37"/>
      <c r="C7" s="438" t="s">
        <v>211</v>
      </c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R7" s="240" t="s">
        <v>213</v>
      </c>
      <c r="S7" s="241"/>
      <c r="T7" s="241"/>
      <c r="U7" s="242"/>
      <c r="V7" s="38"/>
    </row>
    <row r="8" spans="1:22" ht="14.4" customHeight="1" x14ac:dyDescent="0.3">
      <c r="A8" s="37"/>
      <c r="C8" s="438" t="s">
        <v>212</v>
      </c>
      <c r="D8" s="438"/>
      <c r="E8" s="438"/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8"/>
      <c r="R8" s="54" t="s">
        <v>40</v>
      </c>
      <c r="S8" s="55" t="s">
        <v>41</v>
      </c>
      <c r="T8" s="243" t="s">
        <v>42</v>
      </c>
      <c r="U8" s="244"/>
      <c r="V8" s="38"/>
    </row>
    <row r="9" spans="1:22" ht="14.4" thickBot="1" x14ac:dyDescent="0.3">
      <c r="A9" s="37"/>
      <c r="G9" s="426" t="s">
        <v>252</v>
      </c>
      <c r="H9" s="426"/>
      <c r="I9" s="426"/>
      <c r="J9" s="374">
        <f>+Contrato!R17</f>
        <v>0</v>
      </c>
      <c r="K9" s="374"/>
      <c r="R9" s="105">
        <f>+Contrato!R9</f>
        <v>0</v>
      </c>
      <c r="S9" s="106">
        <f>+Contrato!S9</f>
        <v>0</v>
      </c>
      <c r="T9" s="427">
        <f>+Contrato!T9</f>
        <v>0</v>
      </c>
      <c r="U9" s="428"/>
      <c r="V9" s="38"/>
    </row>
    <row r="10" spans="1:22" ht="15" thickTop="1" thickBot="1" x14ac:dyDescent="0.3">
      <c r="A10" s="37"/>
      <c r="V10" s="38"/>
    </row>
    <row r="11" spans="1:22" ht="15.6" thickTop="1" thickBot="1" x14ac:dyDescent="0.35">
      <c r="A11" s="37"/>
      <c r="B11" s="429" t="s">
        <v>214</v>
      </c>
      <c r="C11" s="430"/>
      <c r="D11" s="431">
        <f>+Contrato!R17</f>
        <v>0</v>
      </c>
      <c r="E11" s="431"/>
      <c r="F11" s="431"/>
      <c r="G11" s="431"/>
      <c r="H11" s="432" t="s">
        <v>215</v>
      </c>
      <c r="I11" s="432"/>
      <c r="J11" s="432"/>
      <c r="K11" s="433" t="str">
        <f>CONCATENATE(Contrato!T9,"/",Contrato!S9,"/",Contrato!R9)</f>
        <v>//</v>
      </c>
      <c r="L11" s="433"/>
      <c r="M11" s="433"/>
      <c r="N11" s="433"/>
      <c r="O11" s="432" t="s">
        <v>216</v>
      </c>
      <c r="P11" s="432"/>
      <c r="Q11" s="432"/>
      <c r="R11" s="418"/>
      <c r="S11" s="418"/>
      <c r="T11" s="418"/>
      <c r="U11" s="419"/>
      <c r="V11" s="38"/>
    </row>
    <row r="12" spans="1:22" ht="15" thickBot="1" x14ac:dyDescent="0.35">
      <c r="A12" s="37"/>
      <c r="B12" s="420" t="s">
        <v>217</v>
      </c>
      <c r="C12" s="421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422"/>
      <c r="V12" s="38"/>
    </row>
    <row r="13" spans="1:22" ht="15" thickBot="1" x14ac:dyDescent="0.35">
      <c r="A13" s="37"/>
      <c r="B13" s="423" t="s">
        <v>218</v>
      </c>
      <c r="C13" s="424"/>
      <c r="D13" s="349" t="s">
        <v>220</v>
      </c>
      <c r="E13" s="349"/>
      <c r="F13" s="349"/>
      <c r="G13" s="349"/>
      <c r="H13" s="349" t="s">
        <v>221</v>
      </c>
      <c r="I13" s="349"/>
      <c r="J13" s="349"/>
      <c r="K13" s="349" t="s">
        <v>222</v>
      </c>
      <c r="L13" s="349"/>
      <c r="M13" s="349"/>
      <c r="N13" s="349"/>
      <c r="O13" s="349"/>
      <c r="P13" s="349" t="s">
        <v>223</v>
      </c>
      <c r="Q13" s="349"/>
      <c r="R13" s="349"/>
      <c r="S13" s="349"/>
      <c r="T13" s="349"/>
      <c r="U13" s="425"/>
      <c r="V13" s="38"/>
    </row>
    <row r="14" spans="1:22" ht="15" thickBot="1" x14ac:dyDescent="0.35">
      <c r="A14" s="37"/>
      <c r="B14" s="434" t="s">
        <v>219</v>
      </c>
      <c r="C14" s="435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436"/>
      <c r="Q14" s="436"/>
      <c r="R14" s="436"/>
      <c r="S14" s="436"/>
      <c r="T14" s="436"/>
      <c r="U14" s="437"/>
      <c r="V14" s="38"/>
    </row>
    <row r="15" spans="1:22" ht="15" thickTop="1" thickBot="1" x14ac:dyDescent="0.3">
      <c r="A15" s="37"/>
      <c r="V15" s="38"/>
    </row>
    <row r="16" spans="1:22" ht="15" thickTop="1" x14ac:dyDescent="0.3">
      <c r="A16" s="37"/>
      <c r="B16" s="27" t="s">
        <v>1</v>
      </c>
      <c r="C16" s="412">
        <f>+Contrato!C34</f>
        <v>0</v>
      </c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4"/>
      <c r="V16" s="38"/>
    </row>
    <row r="17" spans="1:22" ht="15" thickBot="1" x14ac:dyDescent="0.35">
      <c r="A17" s="37"/>
      <c r="B17" s="28" t="s">
        <v>224</v>
      </c>
      <c r="C17" s="415"/>
      <c r="D17" s="416"/>
      <c r="E17" s="416"/>
      <c r="F17" s="416"/>
      <c r="G17" s="416"/>
      <c r="H17" s="416"/>
      <c r="I17" s="416"/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7"/>
      <c r="V17" s="38"/>
    </row>
    <row r="18" spans="1:22" ht="15.6" thickTop="1" thickBot="1" x14ac:dyDescent="0.35">
      <c r="A18" s="37"/>
      <c r="B18" s="24" t="s">
        <v>2</v>
      </c>
      <c r="C18" s="403">
        <f>+Contrato!C36</f>
        <v>0</v>
      </c>
      <c r="D18" s="403"/>
      <c r="E18" s="403"/>
      <c r="F18" s="403"/>
      <c r="G18" s="403"/>
      <c r="H18" s="403"/>
      <c r="I18" s="349" t="s">
        <v>68</v>
      </c>
      <c r="J18" s="349"/>
      <c r="K18" s="349"/>
      <c r="L18" s="349"/>
      <c r="M18" s="349"/>
      <c r="N18" s="349"/>
      <c r="O18" s="349"/>
      <c r="P18" s="349"/>
      <c r="Q18" s="404" t="s">
        <v>19</v>
      </c>
      <c r="R18" s="405"/>
      <c r="S18" s="405"/>
      <c r="T18" s="405"/>
      <c r="U18" s="406"/>
      <c r="V18" s="38"/>
    </row>
    <row r="19" spans="1:22" ht="15" thickBot="1" x14ac:dyDescent="0.35">
      <c r="A19" s="37"/>
      <c r="B19" s="56" t="s">
        <v>8</v>
      </c>
      <c r="C19" s="407" t="s">
        <v>67</v>
      </c>
      <c r="D19" s="407"/>
      <c r="E19" s="407"/>
      <c r="F19" s="408" t="str">
        <f>IF(Contrato!F37="","",Contrato!F37)</f>
        <v/>
      </c>
      <c r="G19" s="408"/>
      <c r="H19" s="408"/>
      <c r="I19" s="408" t="str">
        <f>IF(Contrato!I37="","",Contrato!I37)</f>
        <v/>
      </c>
      <c r="J19" s="408"/>
      <c r="K19" s="408"/>
      <c r="L19" s="408"/>
      <c r="M19" s="408"/>
      <c r="N19" s="408"/>
      <c r="O19" s="408"/>
      <c r="P19" s="408"/>
      <c r="Q19" s="409" t="str">
        <f>IF(Contrato!Q37="","",Contrato!Q37)</f>
        <v/>
      </c>
      <c r="R19" s="410"/>
      <c r="S19" s="410"/>
      <c r="T19" s="410"/>
      <c r="U19" s="411"/>
      <c r="V19" s="38"/>
    </row>
    <row r="20" spans="1:22" ht="15" thickBot="1" x14ac:dyDescent="0.35">
      <c r="A20" s="37"/>
      <c r="B20" s="57" t="s">
        <v>69</v>
      </c>
      <c r="C20" s="391" t="str">
        <f>IF(Contrato!C38="","",Contrato!C38)</f>
        <v/>
      </c>
      <c r="D20" s="391"/>
      <c r="E20" s="391"/>
      <c r="F20" s="391"/>
      <c r="G20" s="391"/>
      <c r="H20" s="391"/>
      <c r="I20" s="391"/>
      <c r="J20" s="101" t="s">
        <v>70</v>
      </c>
      <c r="K20" s="392" t="str">
        <f>IF(Contrato!K38="","",Contrato!K38)</f>
        <v/>
      </c>
      <c r="L20" s="392"/>
      <c r="M20" s="392"/>
      <c r="N20" s="392"/>
      <c r="O20" s="392"/>
      <c r="P20" s="392"/>
      <c r="Q20" s="392"/>
      <c r="R20" s="392"/>
      <c r="S20" s="392"/>
      <c r="T20" s="392"/>
      <c r="U20" s="393"/>
      <c r="V20" s="38"/>
    </row>
    <row r="21" spans="1:22" ht="15" thickBot="1" x14ac:dyDescent="0.35">
      <c r="A21" s="37"/>
      <c r="B21" s="56" t="s">
        <v>71</v>
      </c>
      <c r="C21" s="394" t="str">
        <f>IF(Contrato!C39="","",Contrato!C39)</f>
        <v/>
      </c>
      <c r="D21" s="394"/>
      <c r="E21" s="394"/>
      <c r="F21" s="394"/>
      <c r="G21" s="394"/>
      <c r="H21" s="394"/>
      <c r="I21" s="394"/>
      <c r="J21" s="101" t="s">
        <v>20</v>
      </c>
      <c r="K21" s="395" t="str">
        <f>IF(Contrato!K39="","",Contrato!K39)</f>
        <v/>
      </c>
      <c r="L21" s="396"/>
      <c r="M21" s="396"/>
      <c r="N21" s="396"/>
      <c r="O21" s="396"/>
      <c r="P21" s="396"/>
      <c r="Q21" s="396"/>
      <c r="R21" s="396"/>
      <c r="S21" s="396"/>
      <c r="T21" s="396"/>
      <c r="U21" s="397"/>
      <c r="V21" s="38"/>
    </row>
    <row r="22" spans="1:22" ht="15" thickBot="1" x14ac:dyDescent="0.35">
      <c r="A22" s="37"/>
      <c r="B22" s="58" t="s">
        <v>0</v>
      </c>
      <c r="C22" s="398" t="str">
        <f>IF(Contrato!C19="","",Contrato!C19)</f>
        <v/>
      </c>
      <c r="D22" s="398"/>
      <c r="E22" s="398"/>
      <c r="F22" s="398"/>
      <c r="G22" s="398"/>
      <c r="H22" s="398"/>
      <c r="I22" s="398"/>
      <c r="J22" s="102" t="s">
        <v>2</v>
      </c>
      <c r="K22" s="399" t="str">
        <f>IF(Contrato!F22="","",Contrato!F22)</f>
        <v/>
      </c>
      <c r="L22" s="399"/>
      <c r="M22" s="399"/>
      <c r="N22" s="399"/>
      <c r="O22" s="399"/>
      <c r="P22" s="399"/>
      <c r="Q22" s="400" t="s">
        <v>225</v>
      </c>
      <c r="R22" s="400"/>
      <c r="S22" s="401" t="str">
        <f>IF(Contrato!H15="","",Contrato!H15)</f>
        <v/>
      </c>
      <c r="T22" s="401"/>
      <c r="U22" s="402"/>
      <c r="V22" s="38"/>
    </row>
    <row r="23" spans="1:22" ht="15" thickTop="1" thickBot="1" x14ac:dyDescent="0.3">
      <c r="A23" s="37"/>
      <c r="V23" s="38"/>
    </row>
    <row r="24" spans="1:22" ht="15" thickTop="1" x14ac:dyDescent="0.3">
      <c r="A24" s="37"/>
      <c r="B24" s="27" t="s">
        <v>226</v>
      </c>
      <c r="C24" s="375" t="s">
        <v>231</v>
      </c>
      <c r="D24" s="376"/>
      <c r="E24" s="376"/>
      <c r="F24" s="376"/>
      <c r="G24" s="376"/>
      <c r="H24" s="376"/>
      <c r="I24" s="376"/>
      <c r="J24" s="376"/>
      <c r="K24" s="376"/>
      <c r="L24" s="376"/>
      <c r="M24" s="376"/>
      <c r="N24" s="376"/>
      <c r="O24" s="376"/>
      <c r="P24" s="379" t="s">
        <v>267</v>
      </c>
      <c r="Q24" s="380"/>
      <c r="R24" s="383" t="s">
        <v>266</v>
      </c>
      <c r="S24" s="383"/>
      <c r="T24" s="383"/>
      <c r="U24" s="384"/>
      <c r="V24" s="38"/>
    </row>
    <row r="25" spans="1:22" ht="15" thickBot="1" x14ac:dyDescent="0.35">
      <c r="A25" s="37"/>
      <c r="B25" s="28" t="s">
        <v>227</v>
      </c>
      <c r="C25" s="377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81"/>
      <c r="Q25" s="382"/>
      <c r="R25" s="385"/>
      <c r="S25" s="385"/>
      <c r="T25" s="385"/>
      <c r="U25" s="386"/>
      <c r="V25" s="38"/>
    </row>
    <row r="26" spans="1:22" ht="15.6" thickTop="1" thickBot="1" x14ac:dyDescent="0.35">
      <c r="A26" s="37"/>
      <c r="B26" s="59" t="s">
        <v>228</v>
      </c>
      <c r="C26" s="387" t="s">
        <v>268</v>
      </c>
      <c r="D26" s="387"/>
      <c r="E26" s="387"/>
      <c r="F26" s="387"/>
      <c r="G26" s="387"/>
      <c r="H26" s="387"/>
      <c r="I26" s="387"/>
      <c r="J26" s="387"/>
      <c r="K26" s="349" t="s">
        <v>229</v>
      </c>
      <c r="L26" s="349"/>
      <c r="M26" s="349"/>
      <c r="N26" s="349"/>
      <c r="O26" s="388" t="s">
        <v>269</v>
      </c>
      <c r="P26" s="389"/>
      <c r="Q26" s="389"/>
      <c r="R26" s="389"/>
      <c r="S26" s="389"/>
      <c r="T26" s="389"/>
      <c r="U26" s="390"/>
      <c r="V26" s="38"/>
    </row>
    <row r="27" spans="1:22" ht="15" thickBot="1" x14ac:dyDescent="0.35">
      <c r="A27" s="37"/>
      <c r="B27" s="60" t="s">
        <v>71</v>
      </c>
      <c r="C27" s="370" t="s">
        <v>270</v>
      </c>
      <c r="D27" s="370"/>
      <c r="E27" s="370"/>
      <c r="F27" s="370"/>
      <c r="G27" s="370"/>
      <c r="H27" s="370"/>
      <c r="I27" s="370"/>
      <c r="J27" s="102" t="s">
        <v>230</v>
      </c>
      <c r="K27" s="371" t="s">
        <v>271</v>
      </c>
      <c r="L27" s="372"/>
      <c r="M27" s="372"/>
      <c r="N27" s="372"/>
      <c r="O27" s="372"/>
      <c r="P27" s="372"/>
      <c r="Q27" s="372"/>
      <c r="R27" s="372"/>
      <c r="S27" s="372"/>
      <c r="T27" s="372"/>
      <c r="U27" s="373"/>
      <c r="V27" s="38"/>
    </row>
    <row r="28" spans="1:22" ht="14.4" thickTop="1" x14ac:dyDescent="0.25">
      <c r="A28" s="37"/>
      <c r="V28" s="38"/>
    </row>
    <row r="29" spans="1:22" ht="14.4" x14ac:dyDescent="0.3">
      <c r="A29" s="333" t="s">
        <v>232</v>
      </c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5"/>
    </row>
    <row r="30" spans="1:22" x14ac:dyDescent="0.25">
      <c r="A30" s="37"/>
      <c r="V30" s="38"/>
    </row>
    <row r="31" spans="1:22" ht="14.4" x14ac:dyDescent="0.3">
      <c r="A31" s="37"/>
      <c r="B31" s="362" t="s">
        <v>233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8"/>
    </row>
    <row r="32" spans="1:22" ht="14.4" x14ac:dyDescent="0.3">
      <c r="A32" s="37"/>
      <c r="B32" s="362" t="s">
        <v>234</v>
      </c>
      <c r="C32" s="362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74">
        <f>+Contrato!P108</f>
        <v>0</v>
      </c>
      <c r="U32" s="374"/>
      <c r="V32" s="39" t="s">
        <v>235</v>
      </c>
    </row>
    <row r="33" spans="1:22" ht="14.4" x14ac:dyDescent="0.3">
      <c r="A33" s="37"/>
      <c r="B33" s="113" t="s">
        <v>236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38"/>
    </row>
    <row r="34" spans="1:22" x14ac:dyDescent="0.25">
      <c r="A34" s="37"/>
      <c r="V34" s="38"/>
    </row>
    <row r="35" spans="1:22" ht="14.4" x14ac:dyDescent="0.3">
      <c r="A35" s="37"/>
      <c r="B35" s="2" t="s">
        <v>237</v>
      </c>
      <c r="V35" s="38"/>
    </row>
    <row r="36" spans="1:22" ht="14.4" x14ac:dyDescent="0.3">
      <c r="A36" s="37"/>
      <c r="B36" s="362" t="s">
        <v>238</v>
      </c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8"/>
    </row>
    <row r="37" spans="1:22" ht="14.4" x14ac:dyDescent="0.3">
      <c r="A37" s="37"/>
      <c r="B37" s="362" t="s">
        <v>239</v>
      </c>
      <c r="C37" s="362"/>
      <c r="D37" s="362"/>
      <c r="E37" s="362"/>
      <c r="F37" s="362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8"/>
    </row>
    <row r="38" spans="1:22" ht="14.4" x14ac:dyDescent="0.3">
      <c r="A38" s="37"/>
      <c r="B38" s="113" t="s">
        <v>240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38"/>
    </row>
    <row r="39" spans="1:22" x14ac:dyDescent="0.25">
      <c r="A39" s="37"/>
      <c r="V39" s="38"/>
    </row>
    <row r="40" spans="1:22" ht="14.4" x14ac:dyDescent="0.3">
      <c r="A40" s="37"/>
      <c r="B40" s="362" t="s">
        <v>241</v>
      </c>
      <c r="C40" s="362"/>
      <c r="D40" s="362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8"/>
    </row>
    <row r="41" spans="1:22" ht="14.4" x14ac:dyDescent="0.3">
      <c r="A41" s="37"/>
      <c r="B41" s="362" t="s">
        <v>242</v>
      </c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8"/>
    </row>
    <row r="42" spans="1:22" ht="14.4" x14ac:dyDescent="0.3">
      <c r="A42" s="37"/>
      <c r="B42" s="113" t="s">
        <v>243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38"/>
    </row>
    <row r="43" spans="1:22" x14ac:dyDescent="0.25">
      <c r="A43" s="37"/>
      <c r="V43" s="38"/>
    </row>
    <row r="44" spans="1:22" ht="14.4" customHeight="1" x14ac:dyDescent="0.3">
      <c r="A44" s="37"/>
      <c r="B44" s="112" t="s">
        <v>289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38"/>
    </row>
    <row r="45" spans="1:22" ht="14.4" x14ac:dyDescent="0.3">
      <c r="A45" s="37"/>
      <c r="B45" s="95" t="s">
        <v>290</v>
      </c>
      <c r="C45" s="367">
        <f>+Contrato!F126</f>
        <v>0</v>
      </c>
      <c r="D45" s="367"/>
      <c r="E45" s="367"/>
      <c r="F45" s="95" t="s">
        <v>291</v>
      </c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/>
      <c r="R45" s="98"/>
      <c r="S45" s="98"/>
      <c r="T45" s="98"/>
      <c r="U45" s="98"/>
      <c r="V45" s="38"/>
    </row>
    <row r="46" spans="1:22" ht="14.4" customHeight="1" x14ac:dyDescent="0.3">
      <c r="A46" s="37"/>
      <c r="B46" s="368" t="str">
        <f>CONCATENATE(Contrato!K108," de ",Contrato!M108," de ",Contrato!P108)</f>
        <v xml:space="preserve"> de  de </v>
      </c>
      <c r="C46" s="368"/>
      <c r="D46" s="368"/>
      <c r="E46" s="368"/>
      <c r="F46" s="96" t="s">
        <v>292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38"/>
    </row>
    <row r="47" spans="1:22" ht="14.4" customHeight="1" x14ac:dyDescent="0.3">
      <c r="A47" s="37"/>
      <c r="B47" s="369" t="s">
        <v>293</v>
      </c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8"/>
    </row>
    <row r="48" spans="1:22" ht="14.4" customHeight="1" x14ac:dyDescent="0.3">
      <c r="A48" s="37"/>
      <c r="B48" s="362" t="s">
        <v>294</v>
      </c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8"/>
    </row>
    <row r="49" spans="1:22" ht="14.4" customHeight="1" x14ac:dyDescent="0.3">
      <c r="A49" s="37"/>
      <c r="B49" s="362" t="s">
        <v>295</v>
      </c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8"/>
    </row>
    <row r="50" spans="1:22" ht="14.4" x14ac:dyDescent="0.3">
      <c r="A50" s="37"/>
      <c r="B50" s="61" t="s">
        <v>244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61"/>
      <c r="O50" s="2"/>
      <c r="P50" s="2"/>
      <c r="Q50" s="2"/>
      <c r="R50" s="2"/>
      <c r="S50" s="2"/>
      <c r="T50" s="2"/>
      <c r="U50" s="2"/>
      <c r="V50" s="38"/>
    </row>
    <row r="51" spans="1:22" ht="14.4" customHeight="1" x14ac:dyDescent="0.3">
      <c r="A51" s="37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38"/>
    </row>
    <row r="52" spans="1:22" ht="14.4" x14ac:dyDescent="0.3">
      <c r="A52" s="37"/>
      <c r="B52" s="113" t="s">
        <v>245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38"/>
    </row>
    <row r="53" spans="1:22" ht="14.4" x14ac:dyDescent="0.3">
      <c r="A53" s="37"/>
      <c r="B53" s="113" t="s">
        <v>246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38"/>
    </row>
    <row r="54" spans="1:22" ht="14.4" customHeight="1" x14ac:dyDescent="0.3">
      <c r="A54" s="37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8"/>
    </row>
    <row r="55" spans="1:22" ht="14.4" customHeight="1" x14ac:dyDescent="0.3">
      <c r="A55" s="37"/>
      <c r="B55" s="362" t="s">
        <v>247</v>
      </c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8"/>
    </row>
    <row r="56" spans="1:22" ht="14.4" x14ac:dyDescent="0.3">
      <c r="A56" s="37"/>
      <c r="B56" s="362" t="s">
        <v>248</v>
      </c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8"/>
    </row>
    <row r="57" spans="1:22" ht="14.4" x14ac:dyDescent="0.3">
      <c r="A57" s="37"/>
      <c r="B57" s="113" t="s">
        <v>249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38"/>
    </row>
    <row r="58" spans="1:22" ht="14.4" customHeight="1" x14ac:dyDescent="0.3">
      <c r="A58" s="37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8"/>
    </row>
    <row r="59" spans="1:22" ht="14.4" x14ac:dyDescent="0.3">
      <c r="A59" s="37"/>
      <c r="B59" s="362" t="s">
        <v>250</v>
      </c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8"/>
    </row>
    <row r="60" spans="1:22" ht="14.4" x14ac:dyDescent="0.3">
      <c r="A60" s="37"/>
      <c r="B60" s="113" t="s">
        <v>251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38"/>
    </row>
    <row r="61" spans="1:22" x14ac:dyDescent="0.25">
      <c r="A61" s="37"/>
      <c r="V61" s="38"/>
    </row>
    <row r="62" spans="1:22" x14ac:dyDescent="0.25">
      <c r="A62" s="37"/>
      <c r="V62" s="38"/>
    </row>
    <row r="63" spans="1:22" ht="7.2" customHeight="1" thickBot="1" x14ac:dyDescent="0.3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4"/>
    </row>
    <row r="64" spans="1:22" ht="7.2" customHeight="1" thickTop="1" thickBot="1" x14ac:dyDescent="0.3"/>
    <row r="65" spans="1:22" ht="7.2" customHeight="1" thickTop="1" x14ac:dyDescent="0.25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1:22" ht="18" x14ac:dyDescent="0.25">
      <c r="A66" s="37"/>
      <c r="C66" s="3"/>
      <c r="D66" s="4"/>
      <c r="E66" s="4"/>
      <c r="F66" s="5"/>
      <c r="G66" s="141" t="s">
        <v>30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8"/>
    </row>
    <row r="67" spans="1:22" x14ac:dyDescent="0.25">
      <c r="A67" s="37"/>
      <c r="C67" s="6"/>
      <c r="F67" s="7"/>
      <c r="G67" s="271" t="s">
        <v>31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8"/>
    </row>
    <row r="68" spans="1:22" x14ac:dyDescent="0.25">
      <c r="A68" s="37"/>
      <c r="C68" s="6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8"/>
    </row>
    <row r="69" spans="1:22" ht="14.4" x14ac:dyDescent="0.3">
      <c r="A69" s="37"/>
      <c r="C69" s="8"/>
      <c r="D69" s="9"/>
      <c r="E69" s="9"/>
      <c r="F69" s="10"/>
      <c r="G69" s="144" t="s">
        <v>32</v>
      </c>
      <c r="H69" s="145"/>
      <c r="I69" s="146"/>
      <c r="J69" s="144" t="s">
        <v>33</v>
      </c>
      <c r="K69" s="145"/>
      <c r="L69" s="146"/>
      <c r="M69" s="144" t="s">
        <v>34</v>
      </c>
      <c r="N69" s="145"/>
      <c r="O69" s="145"/>
      <c r="P69" s="146"/>
      <c r="Q69" s="144" t="s">
        <v>304</v>
      </c>
      <c r="R69" s="145"/>
      <c r="S69" s="146"/>
      <c r="V69" s="38"/>
    </row>
    <row r="70" spans="1:22" x14ac:dyDescent="0.25">
      <c r="A70" s="37"/>
      <c r="V70" s="38"/>
    </row>
    <row r="71" spans="1:22" ht="14.4" x14ac:dyDescent="0.3">
      <c r="A71" s="37"/>
      <c r="B71" s="362" t="s">
        <v>253</v>
      </c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8"/>
    </row>
    <row r="72" spans="1:22" ht="14.4" x14ac:dyDescent="0.3">
      <c r="A72" s="37"/>
      <c r="B72" s="362" t="s">
        <v>254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8"/>
    </row>
    <row r="73" spans="1:22" ht="14.4" x14ac:dyDescent="0.3">
      <c r="A73" s="37"/>
      <c r="B73" s="113" t="s">
        <v>255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38"/>
    </row>
    <row r="74" spans="1:22" ht="14.4" x14ac:dyDescent="0.3">
      <c r="A74" s="37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38"/>
    </row>
    <row r="75" spans="1:22" ht="14.4" customHeight="1" x14ac:dyDescent="0.3">
      <c r="A75" s="37"/>
      <c r="B75" s="362" t="s">
        <v>296</v>
      </c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8"/>
    </row>
    <row r="76" spans="1:22" ht="14.4" x14ac:dyDescent="0.3">
      <c r="A76" s="37"/>
      <c r="B76" s="362" t="s">
        <v>297</v>
      </c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8"/>
    </row>
    <row r="77" spans="1:22" ht="14.4" x14ac:dyDescent="0.3">
      <c r="A77" s="37"/>
      <c r="B77" s="113" t="s">
        <v>298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38"/>
    </row>
    <row r="78" spans="1:22" x14ac:dyDescent="0.25">
      <c r="A78" s="37"/>
      <c r="V78" s="38"/>
    </row>
    <row r="79" spans="1:22" ht="14.4" thickBot="1" x14ac:dyDescent="0.3">
      <c r="A79" s="37"/>
      <c r="V79" s="38"/>
    </row>
    <row r="80" spans="1:22" ht="14.4" thickTop="1" x14ac:dyDescent="0.25">
      <c r="A80" s="37"/>
      <c r="B80" s="116" t="s">
        <v>258</v>
      </c>
      <c r="C80" s="117"/>
      <c r="D80" s="117"/>
      <c r="E80" s="117"/>
      <c r="F80" s="117"/>
      <c r="G80" s="117"/>
      <c r="H80" s="117"/>
      <c r="I80" s="117"/>
      <c r="J80" s="117"/>
      <c r="K80" s="35"/>
      <c r="L80" s="118" t="s">
        <v>257</v>
      </c>
      <c r="M80" s="119"/>
      <c r="N80" s="119"/>
      <c r="O80" s="120"/>
      <c r="P80" s="127"/>
      <c r="Q80" s="127"/>
      <c r="R80" s="127"/>
      <c r="S80" s="127"/>
      <c r="T80" s="127"/>
      <c r="U80" s="128"/>
      <c r="V80" s="38"/>
    </row>
    <row r="81" spans="1:22" x14ac:dyDescent="0.25">
      <c r="A81" s="37"/>
      <c r="B81" s="131" t="s">
        <v>259</v>
      </c>
      <c r="C81" s="132"/>
      <c r="D81" s="132"/>
      <c r="E81" s="132"/>
      <c r="F81" s="132"/>
      <c r="G81" s="132"/>
      <c r="H81" s="132"/>
      <c r="I81" s="132"/>
      <c r="J81" s="132"/>
      <c r="L81" s="121"/>
      <c r="M81" s="122"/>
      <c r="N81" s="122"/>
      <c r="O81" s="123"/>
      <c r="P81" s="129"/>
      <c r="Q81" s="129"/>
      <c r="R81" s="129"/>
      <c r="S81" s="129"/>
      <c r="T81" s="129"/>
      <c r="U81" s="130"/>
      <c r="V81" s="38"/>
    </row>
    <row r="82" spans="1:22" x14ac:dyDescent="0.25">
      <c r="A82" s="37"/>
      <c r="B82" s="131" t="s">
        <v>260</v>
      </c>
      <c r="C82" s="132"/>
      <c r="D82" s="132"/>
      <c r="E82" s="132"/>
      <c r="F82" s="132"/>
      <c r="G82" s="132"/>
      <c r="H82" s="132"/>
      <c r="I82" s="132"/>
      <c r="J82" s="132"/>
      <c r="L82" s="121"/>
      <c r="M82" s="122"/>
      <c r="N82" s="122"/>
      <c r="O82" s="123"/>
      <c r="P82" s="129"/>
      <c r="Q82" s="129"/>
      <c r="R82" s="129"/>
      <c r="S82" s="129"/>
      <c r="T82" s="129"/>
      <c r="U82" s="130"/>
      <c r="V82" s="38"/>
    </row>
    <row r="83" spans="1:22" x14ac:dyDescent="0.25">
      <c r="A83" s="37"/>
      <c r="B83" s="131" t="s">
        <v>261</v>
      </c>
      <c r="C83" s="132"/>
      <c r="D83" s="132"/>
      <c r="E83" s="132"/>
      <c r="F83" s="132"/>
      <c r="G83" s="132"/>
      <c r="H83" s="132"/>
      <c r="I83" s="132"/>
      <c r="J83" s="132"/>
      <c r="L83" s="121"/>
      <c r="M83" s="122"/>
      <c r="N83" s="122"/>
      <c r="O83" s="123"/>
      <c r="P83" s="129"/>
      <c r="Q83" s="129"/>
      <c r="R83" s="129"/>
      <c r="S83" s="129"/>
      <c r="T83" s="129"/>
      <c r="U83" s="130"/>
      <c r="V83" s="38"/>
    </row>
    <row r="84" spans="1:22" x14ac:dyDescent="0.25">
      <c r="A84" s="37"/>
      <c r="B84" s="133" t="s">
        <v>262</v>
      </c>
      <c r="C84" s="134"/>
      <c r="D84" s="134"/>
      <c r="E84" s="134"/>
      <c r="F84" s="134"/>
      <c r="G84" s="134"/>
      <c r="H84" s="134"/>
      <c r="I84" s="134"/>
      <c r="J84" s="134"/>
      <c r="L84" s="121"/>
      <c r="M84" s="122"/>
      <c r="N84" s="122"/>
      <c r="O84" s="123"/>
      <c r="P84" s="129"/>
      <c r="Q84" s="129"/>
      <c r="R84" s="129"/>
      <c r="S84" s="129"/>
      <c r="T84" s="129"/>
      <c r="U84" s="130"/>
      <c r="V84" s="38"/>
    </row>
    <row r="85" spans="1:22" x14ac:dyDescent="0.25">
      <c r="A85" s="37"/>
      <c r="B85" s="37"/>
      <c r="L85" s="121"/>
      <c r="M85" s="122"/>
      <c r="N85" s="122"/>
      <c r="O85" s="123"/>
      <c r="P85" s="129"/>
      <c r="Q85" s="129"/>
      <c r="R85" s="129"/>
      <c r="S85" s="129"/>
      <c r="T85" s="129"/>
      <c r="U85" s="130"/>
      <c r="V85" s="38"/>
    </row>
    <row r="86" spans="1:22" ht="15" thickBot="1" x14ac:dyDescent="0.35">
      <c r="A86" s="37"/>
      <c r="B86" s="65" t="s">
        <v>263</v>
      </c>
      <c r="C86" s="366">
        <f>+Contrato!C235</f>
        <v>0</v>
      </c>
      <c r="D86" s="366"/>
      <c r="E86" s="366"/>
      <c r="F86" s="366"/>
      <c r="G86" s="366"/>
      <c r="H86" s="366"/>
      <c r="I86" s="366"/>
      <c r="J86" s="366"/>
      <c r="L86" s="124"/>
      <c r="M86" s="125"/>
      <c r="N86" s="125"/>
      <c r="O86" s="126"/>
      <c r="P86" s="129"/>
      <c r="Q86" s="129"/>
      <c r="R86" s="129"/>
      <c r="S86" s="129"/>
      <c r="T86" s="129"/>
      <c r="U86" s="130"/>
      <c r="V86" s="38"/>
    </row>
    <row r="87" spans="1:22" ht="15.6" thickTop="1" thickBot="1" x14ac:dyDescent="0.35">
      <c r="A87" s="37"/>
      <c r="B87" s="65" t="s">
        <v>264</v>
      </c>
      <c r="C87" s="364">
        <f>+Contrato!C236</f>
        <v>0</v>
      </c>
      <c r="D87" s="364"/>
      <c r="E87" s="364"/>
      <c r="F87" s="364"/>
      <c r="G87" s="70" t="s">
        <v>265</v>
      </c>
      <c r="H87" s="365" t="str">
        <f>IF(Contrato!H236="","",Contrato!H236)</f>
        <v/>
      </c>
      <c r="I87" s="365"/>
      <c r="J87" s="365"/>
      <c r="P87" s="109" t="s">
        <v>256</v>
      </c>
      <c r="Q87" s="110"/>
      <c r="R87" s="110"/>
      <c r="S87" s="110"/>
      <c r="T87" s="110"/>
      <c r="U87" s="111"/>
      <c r="V87" s="38"/>
    </row>
    <row r="88" spans="1:22" ht="15" thickTop="1" thickBot="1" x14ac:dyDescent="0.3">
      <c r="A88" s="37"/>
      <c r="B88" s="62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4"/>
      <c r="V88" s="38"/>
    </row>
    <row r="89" spans="1:22" ht="14.4" thickTop="1" x14ac:dyDescent="0.25">
      <c r="A89" s="37"/>
      <c r="V89" s="38"/>
    </row>
    <row r="90" spans="1:22" x14ac:dyDescent="0.25">
      <c r="A90" s="37"/>
      <c r="V90" s="38"/>
    </row>
    <row r="91" spans="1:22" x14ac:dyDescent="0.25">
      <c r="A91" s="37"/>
      <c r="V91" s="38"/>
    </row>
    <row r="92" spans="1:22" x14ac:dyDescent="0.25">
      <c r="A92" s="37"/>
      <c r="V92" s="38"/>
    </row>
    <row r="93" spans="1:22" x14ac:dyDescent="0.25">
      <c r="A93" s="37"/>
      <c r="V93" s="38"/>
    </row>
    <row r="94" spans="1:22" x14ac:dyDescent="0.25">
      <c r="A94" s="37"/>
      <c r="V94" s="38"/>
    </row>
    <row r="95" spans="1:22" x14ac:dyDescent="0.25">
      <c r="A95" s="37"/>
      <c r="V95" s="38"/>
    </row>
    <row r="96" spans="1:22" x14ac:dyDescent="0.25">
      <c r="A96" s="37"/>
      <c r="B96" s="48"/>
      <c r="C96" s="48"/>
      <c r="D96" s="48"/>
      <c r="E96" s="48"/>
      <c r="F96" s="48"/>
      <c r="G96" s="48"/>
      <c r="H96" s="48"/>
      <c r="I96" s="48"/>
      <c r="J96" s="48"/>
      <c r="L96" s="90"/>
      <c r="M96" s="90"/>
      <c r="N96" s="90"/>
      <c r="O96" s="90"/>
      <c r="P96" s="91"/>
      <c r="Q96" s="91"/>
      <c r="R96" s="91"/>
      <c r="S96" s="91"/>
      <c r="T96" s="91"/>
      <c r="U96" s="91"/>
      <c r="V96" s="38"/>
    </row>
    <row r="97" spans="1:22" x14ac:dyDescent="0.25">
      <c r="A97" s="37"/>
      <c r="B97" s="48"/>
      <c r="C97" s="48"/>
      <c r="D97" s="48"/>
      <c r="E97" s="48"/>
      <c r="F97" s="48"/>
      <c r="G97" s="48"/>
      <c r="H97" s="48"/>
      <c r="I97" s="48"/>
      <c r="J97" s="48"/>
      <c r="L97" s="90"/>
      <c r="M97" s="90"/>
      <c r="N97" s="90"/>
      <c r="O97" s="90"/>
      <c r="P97" s="91"/>
      <c r="Q97" s="91"/>
      <c r="R97" s="91"/>
      <c r="S97" s="91"/>
      <c r="T97" s="91"/>
      <c r="U97" s="91"/>
      <c r="V97" s="38"/>
    </row>
    <row r="98" spans="1:22" x14ac:dyDescent="0.25">
      <c r="A98" s="37"/>
      <c r="B98" s="48"/>
      <c r="C98" s="48"/>
      <c r="D98" s="48"/>
      <c r="E98" s="48"/>
      <c r="F98" s="48"/>
      <c r="G98" s="48"/>
      <c r="H98" s="48"/>
      <c r="I98" s="48"/>
      <c r="J98" s="48"/>
      <c r="L98" s="90"/>
      <c r="M98" s="90"/>
      <c r="N98" s="90"/>
      <c r="O98" s="90"/>
      <c r="P98" s="91"/>
      <c r="Q98" s="91"/>
      <c r="R98" s="91"/>
      <c r="S98" s="91"/>
      <c r="T98" s="91"/>
      <c r="U98" s="91"/>
      <c r="V98" s="38"/>
    </row>
    <row r="99" spans="1:22" x14ac:dyDescent="0.25">
      <c r="A99" s="37"/>
      <c r="B99" s="48"/>
      <c r="C99" s="48"/>
      <c r="D99" s="48"/>
      <c r="E99" s="48"/>
      <c r="F99" s="48"/>
      <c r="G99" s="48"/>
      <c r="H99" s="48"/>
      <c r="I99" s="48"/>
      <c r="J99" s="48"/>
      <c r="L99" s="90"/>
      <c r="M99" s="90"/>
      <c r="N99" s="90"/>
      <c r="O99" s="90"/>
      <c r="P99" s="91"/>
      <c r="Q99" s="91"/>
      <c r="R99" s="91"/>
      <c r="S99" s="91"/>
      <c r="T99" s="91"/>
      <c r="U99" s="91"/>
      <c r="V99" s="38"/>
    </row>
    <row r="100" spans="1:22" x14ac:dyDescent="0.25">
      <c r="A100" s="37"/>
      <c r="B100" s="48"/>
      <c r="C100" s="48"/>
      <c r="D100" s="48"/>
      <c r="E100" s="48"/>
      <c r="F100" s="48"/>
      <c r="G100" s="48"/>
      <c r="H100" s="48"/>
      <c r="I100" s="48"/>
      <c r="J100" s="48"/>
      <c r="L100" s="90"/>
      <c r="M100" s="90"/>
      <c r="N100" s="90"/>
      <c r="O100" s="90"/>
      <c r="P100" s="91"/>
      <c r="Q100" s="91"/>
      <c r="R100" s="91"/>
      <c r="S100" s="91"/>
      <c r="T100" s="91"/>
      <c r="U100" s="91"/>
      <c r="V100" s="38"/>
    </row>
    <row r="101" spans="1:22" x14ac:dyDescent="0.25">
      <c r="A101" s="37"/>
      <c r="L101" s="90"/>
      <c r="M101" s="90"/>
      <c r="N101" s="90"/>
      <c r="O101" s="90"/>
      <c r="P101" s="91"/>
      <c r="Q101" s="91"/>
      <c r="R101" s="91"/>
      <c r="S101" s="91"/>
      <c r="T101" s="91"/>
      <c r="U101" s="91"/>
      <c r="V101" s="38"/>
    </row>
    <row r="102" spans="1:22" ht="14.4" x14ac:dyDescent="0.3">
      <c r="A102" s="37"/>
      <c r="B102" s="92"/>
      <c r="C102" s="2"/>
      <c r="D102" s="2"/>
      <c r="E102" s="2"/>
      <c r="F102" s="2"/>
      <c r="G102" s="2"/>
      <c r="H102" s="2"/>
      <c r="I102" s="2"/>
      <c r="J102" s="2"/>
      <c r="L102" s="90"/>
      <c r="M102" s="90"/>
      <c r="N102" s="90"/>
      <c r="O102" s="90"/>
      <c r="P102" s="91"/>
      <c r="Q102" s="91"/>
      <c r="R102" s="91"/>
      <c r="S102" s="91"/>
      <c r="T102" s="91"/>
      <c r="U102" s="91"/>
      <c r="V102" s="38"/>
    </row>
    <row r="103" spans="1:22" ht="14.4" x14ac:dyDescent="0.3">
      <c r="A103" s="37"/>
      <c r="B103" s="92"/>
      <c r="C103" s="2"/>
      <c r="D103" s="2"/>
      <c r="E103" s="2"/>
      <c r="F103" s="2"/>
      <c r="G103" s="2"/>
      <c r="P103" s="93"/>
      <c r="Q103" s="93"/>
      <c r="R103" s="93"/>
      <c r="S103" s="93"/>
      <c r="T103" s="93"/>
      <c r="U103" s="93"/>
      <c r="V103" s="38"/>
    </row>
    <row r="104" spans="1:22" x14ac:dyDescent="0.25">
      <c r="A104" s="37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38"/>
    </row>
    <row r="105" spans="1:22" x14ac:dyDescent="0.25">
      <c r="A105" s="37"/>
      <c r="V105" s="38"/>
    </row>
    <row r="106" spans="1:22" x14ac:dyDescent="0.25">
      <c r="A106" s="37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38"/>
    </row>
    <row r="107" spans="1:22" x14ac:dyDescent="0.25">
      <c r="A107" s="37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38"/>
    </row>
    <row r="108" spans="1:22" x14ac:dyDescent="0.25">
      <c r="A108" s="37"/>
      <c r="V108" s="38"/>
    </row>
    <row r="109" spans="1:22" x14ac:dyDescent="0.25">
      <c r="A109" s="37"/>
      <c r="V109" s="38"/>
    </row>
    <row r="110" spans="1:22" x14ac:dyDescent="0.25">
      <c r="A110" s="37"/>
      <c r="V110" s="38"/>
    </row>
    <row r="111" spans="1:22" x14ac:dyDescent="0.25">
      <c r="A111" s="37"/>
      <c r="V111" s="38"/>
    </row>
    <row r="112" spans="1:22" x14ac:dyDescent="0.25">
      <c r="A112" s="37"/>
      <c r="V112" s="38"/>
    </row>
    <row r="113" spans="1:22" x14ac:dyDescent="0.25">
      <c r="A113" s="37"/>
      <c r="V113" s="38"/>
    </row>
    <row r="114" spans="1:22" x14ac:dyDescent="0.25">
      <c r="A114" s="37"/>
      <c r="V114" s="38"/>
    </row>
    <row r="115" spans="1:22" x14ac:dyDescent="0.25">
      <c r="A115" s="37"/>
      <c r="V115" s="38"/>
    </row>
    <row r="116" spans="1:22" x14ac:dyDescent="0.25">
      <c r="A116" s="37"/>
      <c r="V116" s="38"/>
    </row>
    <row r="117" spans="1:22" x14ac:dyDescent="0.25">
      <c r="A117" s="37"/>
      <c r="V117" s="38"/>
    </row>
    <row r="118" spans="1:22" x14ac:dyDescent="0.25">
      <c r="A118" s="37"/>
      <c r="V118" s="38"/>
    </row>
    <row r="119" spans="1:22" x14ac:dyDescent="0.25">
      <c r="A119" s="37"/>
      <c r="V119" s="38"/>
    </row>
    <row r="120" spans="1:22" x14ac:dyDescent="0.25">
      <c r="A120" s="37"/>
      <c r="V120" s="38"/>
    </row>
    <row r="121" spans="1:22" x14ac:dyDescent="0.25">
      <c r="A121" s="37"/>
      <c r="V121" s="38"/>
    </row>
    <row r="122" spans="1:22" x14ac:dyDescent="0.25">
      <c r="A122" s="37"/>
      <c r="V122" s="38"/>
    </row>
    <row r="123" spans="1:22" x14ac:dyDescent="0.25">
      <c r="A123" s="37"/>
      <c r="V123" s="38"/>
    </row>
    <row r="124" spans="1:22" x14ac:dyDescent="0.25">
      <c r="A124" s="37"/>
      <c r="V124" s="38"/>
    </row>
    <row r="125" spans="1:22" x14ac:dyDescent="0.25">
      <c r="A125" s="37"/>
      <c r="V125" s="38"/>
    </row>
    <row r="126" spans="1:22" x14ac:dyDescent="0.25">
      <c r="A126" s="37"/>
      <c r="V126" s="38"/>
    </row>
    <row r="127" spans="1:22" x14ac:dyDescent="0.25">
      <c r="A127" s="37"/>
      <c r="V127" s="38"/>
    </row>
    <row r="128" spans="1:22" ht="14.4" thickBot="1" x14ac:dyDescent="0.3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4"/>
    </row>
    <row r="129" ht="14.4" thickTop="1" x14ac:dyDescent="0.25"/>
  </sheetData>
  <sheetProtection algorithmName="SHA-512" hashValue="C/agC+loKBVGm4YRE2OjVFYRPc+/cCcM7+T28cl/SvNSmNAwiqWn5Xd7U08GwFAhsSMFxZo/yZgIjkXRzDp/rQ==" saltValue="IynKO0E3vxFd1aIXUAHkOg==" spinCount="100000" sheet="1" objects="1" scenarios="1"/>
  <mergeCells count="105">
    <mergeCell ref="G5:I5"/>
    <mergeCell ref="J5:L5"/>
    <mergeCell ref="M5:P5"/>
    <mergeCell ref="Q5:S5"/>
    <mergeCell ref="C7:P7"/>
    <mergeCell ref="R7:U7"/>
    <mergeCell ref="G2:S2"/>
    <mergeCell ref="G3:S4"/>
    <mergeCell ref="C8:P8"/>
    <mergeCell ref="T8:U8"/>
    <mergeCell ref="G9:I9"/>
    <mergeCell ref="J9:K9"/>
    <mergeCell ref="T9:U9"/>
    <mergeCell ref="B11:C11"/>
    <mergeCell ref="D11:G11"/>
    <mergeCell ref="H11:J11"/>
    <mergeCell ref="K11:N11"/>
    <mergeCell ref="O11:Q11"/>
    <mergeCell ref="B14:C14"/>
    <mergeCell ref="D14:G14"/>
    <mergeCell ref="H14:J14"/>
    <mergeCell ref="K14:O14"/>
    <mergeCell ref="P14:U14"/>
    <mergeCell ref="C16:U17"/>
    <mergeCell ref="R11:U11"/>
    <mergeCell ref="B12:C12"/>
    <mergeCell ref="D12:U12"/>
    <mergeCell ref="B13:C13"/>
    <mergeCell ref="D13:G13"/>
    <mergeCell ref="H13:J13"/>
    <mergeCell ref="K13:O13"/>
    <mergeCell ref="P13:U13"/>
    <mergeCell ref="C20:I20"/>
    <mergeCell ref="K20:U20"/>
    <mergeCell ref="C21:I21"/>
    <mergeCell ref="K21:U21"/>
    <mergeCell ref="C22:I22"/>
    <mergeCell ref="K22:P22"/>
    <mergeCell ref="Q22:R22"/>
    <mergeCell ref="S22:U22"/>
    <mergeCell ref="C18:H18"/>
    <mergeCell ref="I18:P18"/>
    <mergeCell ref="Q18:U18"/>
    <mergeCell ref="C19:E19"/>
    <mergeCell ref="F19:H19"/>
    <mergeCell ref="I19:P19"/>
    <mergeCell ref="Q19:U19"/>
    <mergeCell ref="C27:I27"/>
    <mergeCell ref="K27:U27"/>
    <mergeCell ref="A29:V29"/>
    <mergeCell ref="B31:U31"/>
    <mergeCell ref="B32:S32"/>
    <mergeCell ref="T32:U32"/>
    <mergeCell ref="C24:O25"/>
    <mergeCell ref="P24:Q25"/>
    <mergeCell ref="R24:U25"/>
    <mergeCell ref="C26:J26"/>
    <mergeCell ref="K26:N26"/>
    <mergeCell ref="O26:U26"/>
    <mergeCell ref="B42:U42"/>
    <mergeCell ref="B44:U44"/>
    <mergeCell ref="C45:E45"/>
    <mergeCell ref="B46:E46"/>
    <mergeCell ref="B47:U47"/>
    <mergeCell ref="B48:U48"/>
    <mergeCell ref="B33:U33"/>
    <mergeCell ref="B36:U36"/>
    <mergeCell ref="B37:U37"/>
    <mergeCell ref="B38:U38"/>
    <mergeCell ref="B40:U40"/>
    <mergeCell ref="B41:U41"/>
    <mergeCell ref="B56:U56"/>
    <mergeCell ref="B57:U57"/>
    <mergeCell ref="B58:U58"/>
    <mergeCell ref="B59:U59"/>
    <mergeCell ref="B60:U60"/>
    <mergeCell ref="G66:S66"/>
    <mergeCell ref="B49:U49"/>
    <mergeCell ref="B51:U51"/>
    <mergeCell ref="B52:U52"/>
    <mergeCell ref="B53:U53"/>
    <mergeCell ref="B54:U54"/>
    <mergeCell ref="B55:U55"/>
    <mergeCell ref="B72:U72"/>
    <mergeCell ref="B73:U73"/>
    <mergeCell ref="B75:U75"/>
    <mergeCell ref="B76:U76"/>
    <mergeCell ref="B77:U77"/>
    <mergeCell ref="G67:S68"/>
    <mergeCell ref="G69:I69"/>
    <mergeCell ref="J69:L69"/>
    <mergeCell ref="M69:P69"/>
    <mergeCell ref="Q69:S69"/>
    <mergeCell ref="B71:U71"/>
    <mergeCell ref="C87:F87"/>
    <mergeCell ref="H87:J87"/>
    <mergeCell ref="P87:U87"/>
    <mergeCell ref="B80:J80"/>
    <mergeCell ref="L80:O86"/>
    <mergeCell ref="P80:U86"/>
    <mergeCell ref="B81:J81"/>
    <mergeCell ref="B82:J82"/>
    <mergeCell ref="B83:J83"/>
    <mergeCell ref="B84:J84"/>
    <mergeCell ref="C86:J86"/>
  </mergeCells>
  <hyperlinks>
    <hyperlink ref="K27" r:id="rId1" xr:uid="{F05EFCBD-9324-42FF-BFC5-8DA3CEAD67D3}"/>
    <hyperlink ref="B50" r:id="rId2" xr:uid="{999D57EB-350B-41F5-A38F-AA064833ACCF}"/>
  </hyperlinks>
  <pageMargins left="0" right="0" top="0" bottom="0" header="0.31496062992125984" footer="0.31496062992125984"/>
  <pageSetup scale="83" orientation="portrait" horizontalDpi="4294967293" verticalDpi="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610D-CFD7-43F8-8074-C5391395DE3F}">
  <dimension ref="A1:Z9"/>
  <sheetViews>
    <sheetView workbookViewId="0">
      <selection activeCell="B7" sqref="B7"/>
    </sheetView>
  </sheetViews>
  <sheetFormatPr baseColWidth="10" defaultRowHeight="14.4" x14ac:dyDescent="0.3"/>
  <sheetData>
    <row r="1" spans="1:26" x14ac:dyDescent="0.3">
      <c r="A1" t="s">
        <v>82</v>
      </c>
      <c r="B1" t="s">
        <v>83</v>
      </c>
      <c r="Z1" t="s">
        <v>44</v>
      </c>
    </row>
    <row r="2" spans="1:26" x14ac:dyDescent="0.3">
      <c r="Z2" t="s">
        <v>43</v>
      </c>
    </row>
    <row r="3" spans="1:26" x14ac:dyDescent="0.3">
      <c r="A3" t="s">
        <v>84</v>
      </c>
      <c r="B3" t="s">
        <v>85</v>
      </c>
    </row>
    <row r="5" spans="1:26" x14ac:dyDescent="0.3">
      <c r="A5" t="s">
        <v>86</v>
      </c>
      <c r="B5" t="s">
        <v>87</v>
      </c>
    </row>
    <row r="7" spans="1:26" x14ac:dyDescent="0.3">
      <c r="A7" t="s">
        <v>88</v>
      </c>
      <c r="B7" t="s">
        <v>89</v>
      </c>
    </row>
    <row r="9" spans="1:26" x14ac:dyDescent="0.3">
      <c r="A9" t="s">
        <v>90</v>
      </c>
      <c r="B9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Contrato</vt:lpstr>
      <vt:lpstr>Pagare</vt:lpstr>
      <vt:lpstr>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Gregory Hernando Figueredo Guevara</cp:lastModifiedBy>
  <cp:lastPrinted>2024-11-30T05:01:53Z</cp:lastPrinted>
  <dcterms:created xsi:type="dcterms:W3CDTF">2022-11-23T22:59:47Z</dcterms:created>
  <dcterms:modified xsi:type="dcterms:W3CDTF">2025-11-14T00:55:20Z</dcterms:modified>
</cp:coreProperties>
</file>